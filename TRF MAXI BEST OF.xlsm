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jotechnology.sharepoint.com/sites/EquitiesPAR/Shared Documents/Daily TOOLS/"/>
    </mc:Choice>
  </mc:AlternateContent>
  <xr:revisionPtr revIDLastSave="7301" documentId="8_{612FD18C-E783-4517-841C-22F470F2CC6E}" xr6:coauthVersionLast="47" xr6:coauthVersionMax="47" xr10:uidLastSave="{E33CEA0D-B4CF-4D18-87E9-64179B1C76E2}"/>
  <bookViews>
    <workbookView xWindow="-120" yWindow="-120" windowWidth="29040" windowHeight="15840" tabRatio="476" activeTab="1" xr2:uid="{F4DB5445-5521-4F89-9E4B-CA205D2095DC}"/>
  </bookViews>
  <sheets>
    <sheet name="Fair val" sheetId="8" r:id="rId1"/>
    <sheet name="TRF SX5E" sheetId="7" r:id="rId2"/>
    <sheet name="TRF CAC" sheetId="3" r:id="rId3"/>
    <sheet name="TRF FTSE (2)" sheetId="4" r:id="rId4"/>
    <sheet name="TRF SX5E other basis" sheetId="10" r:id="rId5"/>
    <sheet name="SX5E TRF delta basis" sheetId="5" r:id="rId6"/>
    <sheet name="Interets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7" l="1"/>
  <c r="D28" i="7"/>
  <c r="E28" i="7"/>
  <c r="F28" i="7"/>
  <c r="G28" i="7"/>
  <c r="K67" i="7"/>
  <c r="B29" i="7"/>
  <c r="D29" i="7"/>
  <c r="E29" i="7"/>
  <c r="F29" i="7"/>
  <c r="G29" i="7"/>
  <c r="H29" i="7"/>
  <c r="I29" i="7"/>
  <c r="J29" i="7"/>
  <c r="K29" i="7"/>
  <c r="D75" i="7"/>
  <c r="E75" i="7"/>
  <c r="F75" i="7"/>
  <c r="D76" i="7"/>
  <c r="E76" i="7"/>
  <c r="F76" i="7"/>
  <c r="D77" i="7"/>
  <c r="E77" i="7"/>
  <c r="F77" i="7"/>
  <c r="D78" i="7"/>
  <c r="E78" i="7"/>
  <c r="F78" i="7"/>
  <c r="B79" i="7"/>
  <c r="D79" i="7"/>
  <c r="E79" i="7"/>
  <c r="F79" i="7"/>
  <c r="G79" i="7"/>
  <c r="H79" i="7"/>
  <c r="I79" i="7"/>
  <c r="K79" i="7"/>
  <c r="B80" i="7"/>
  <c r="D80" i="7"/>
  <c r="E80" i="7"/>
  <c r="F80" i="7"/>
  <c r="G80" i="7"/>
  <c r="H80" i="7"/>
  <c r="I80" i="7"/>
  <c r="K80" i="7"/>
  <c r="B81" i="7"/>
  <c r="D81" i="7"/>
  <c r="E81" i="7"/>
  <c r="F81" i="7"/>
  <c r="G81" i="7"/>
  <c r="H81" i="7"/>
  <c r="I81" i="7"/>
  <c r="K81" i="7"/>
  <c r="B82" i="7"/>
  <c r="D82" i="7"/>
  <c r="E82" i="7"/>
  <c r="F82" i="7"/>
  <c r="G82" i="7"/>
  <c r="H82" i="7"/>
  <c r="I82" i="7"/>
  <c r="K82" i="7"/>
  <c r="M27" i="10"/>
  <c r="N27" i="10" s="1"/>
  <c r="C45" i="10"/>
  <c r="D45" i="10"/>
  <c r="E45" i="10"/>
  <c r="F45" i="10"/>
  <c r="F46" i="10" s="1"/>
  <c r="C46" i="10"/>
  <c r="D46" i="10"/>
  <c r="E46" i="10"/>
  <c r="C25" i="10"/>
  <c r="D25" i="10"/>
  <c r="E25" i="10"/>
  <c r="C26" i="10"/>
  <c r="D26" i="10"/>
  <c r="E26" i="10"/>
  <c r="A27" i="10"/>
  <c r="C27" i="10"/>
  <c r="D27" i="10"/>
  <c r="E27" i="10"/>
  <c r="F27" i="10"/>
  <c r="G27" i="10"/>
  <c r="H27" i="10"/>
  <c r="I27" i="10"/>
  <c r="J27" i="10"/>
  <c r="A28" i="10"/>
  <c r="C28" i="10"/>
  <c r="D28" i="10"/>
  <c r="E28" i="10"/>
  <c r="F28" i="10"/>
  <c r="G28" i="10"/>
  <c r="H28" i="10"/>
  <c r="I28" i="10"/>
  <c r="J28" i="10"/>
  <c r="A29" i="10"/>
  <c r="C29" i="10"/>
  <c r="D29" i="10"/>
  <c r="E29" i="10"/>
  <c r="F29" i="10"/>
  <c r="G29" i="10"/>
  <c r="H29" i="10"/>
  <c r="I29" i="10"/>
  <c r="J29" i="10"/>
  <c r="A30" i="10"/>
  <c r="C30" i="10"/>
  <c r="D30" i="10"/>
  <c r="E30" i="10"/>
  <c r="F30" i="10"/>
  <c r="G30" i="10"/>
  <c r="H30" i="10"/>
  <c r="I30" i="10"/>
  <c r="J30" i="10"/>
  <c r="K51" i="7"/>
  <c r="J51" i="7"/>
  <c r="D87" i="7"/>
  <c r="E87" i="7"/>
  <c r="F87" i="7"/>
  <c r="D97" i="7"/>
  <c r="E97" i="7"/>
  <c r="F97" i="7"/>
  <c r="D98" i="7"/>
  <c r="K100" i="7" s="1"/>
  <c r="E98" i="7"/>
  <c r="F98" i="7"/>
  <c r="D30" i="7"/>
  <c r="E30" i="7"/>
  <c r="F30" i="7"/>
  <c r="D31" i="7"/>
  <c r="J31" i="7" s="1"/>
  <c r="E31" i="7"/>
  <c r="F31" i="7"/>
  <c r="D20" i="7"/>
  <c r="E20" i="7"/>
  <c r="F20" i="7"/>
  <c r="D21" i="7"/>
  <c r="E21" i="7"/>
  <c r="F21" i="7"/>
  <c r="D22" i="7"/>
  <c r="E22" i="7"/>
  <c r="F22" i="7"/>
  <c r="D23" i="7"/>
  <c r="E23" i="7"/>
  <c r="F23" i="7"/>
  <c r="D24" i="7"/>
  <c r="E24" i="7"/>
  <c r="F24" i="7"/>
  <c r="D25" i="7"/>
  <c r="E25" i="7"/>
  <c r="F25" i="7"/>
  <c r="D26" i="7"/>
  <c r="E26" i="7"/>
  <c r="F26" i="7"/>
  <c r="D27" i="7"/>
  <c r="E27" i="7"/>
  <c r="F27" i="7"/>
  <c r="D63" i="7"/>
  <c r="E63" i="7"/>
  <c r="F63" i="7"/>
  <c r="D64" i="7"/>
  <c r="E64" i="7"/>
  <c r="F64" i="7"/>
  <c r="B65" i="7"/>
  <c r="K65" i="7" s="1"/>
  <c r="D65" i="7"/>
  <c r="E65" i="7"/>
  <c r="F65" i="7"/>
  <c r="G65" i="7"/>
  <c r="A17" i="10"/>
  <c r="M28" i="10"/>
  <c r="K48" i="7"/>
  <c r="D46" i="7"/>
  <c r="D47" i="7"/>
  <c r="E46" i="7"/>
  <c r="F46" i="7"/>
  <c r="F45" i="7"/>
  <c r="M29" i="10"/>
  <c r="I46" i="10" l="1"/>
  <c r="I73" i="3"/>
  <c r="P3" i="7" a="1"/>
  <c r="P3" i="7" l="1"/>
  <c r="J84" i="10"/>
  <c r="J85" i="10"/>
  <c r="J33" i="7" l="1"/>
  <c r="K33" i="7" s="1"/>
  <c r="G17" i="7"/>
  <c r="J31" i="11"/>
  <c r="J29" i="11"/>
  <c r="J28" i="11"/>
  <c r="J27" i="11"/>
  <c r="J26" i="11"/>
  <c r="J24" i="11"/>
  <c r="J23" i="11"/>
  <c r="J20" i="11"/>
  <c r="J19" i="11"/>
  <c r="M19" i="8" l="1"/>
  <c r="M18" i="8"/>
  <c r="K17" i="7"/>
  <c r="O2" i="10" a="1"/>
  <c r="O2" i="10" l="1"/>
  <c r="I43" i="3"/>
  <c r="H55" i="3" l="1"/>
  <c r="G55" i="3"/>
  <c r="F55" i="3"/>
  <c r="E55" i="3"/>
  <c r="D55" i="3"/>
  <c r="C55" i="3"/>
  <c r="C54" i="3"/>
  <c r="C53" i="3"/>
  <c r="C52" i="3"/>
  <c r="C51" i="3"/>
  <c r="C50" i="3"/>
  <c r="C49" i="3"/>
  <c r="C48" i="3"/>
  <c r="C47" i="3"/>
  <c r="C46" i="3"/>
  <c r="C32" i="3"/>
  <c r="D54" i="3"/>
  <c r="D53" i="3"/>
  <c r="D52" i="3"/>
  <c r="D51" i="3"/>
  <c r="D50" i="3"/>
  <c r="D49" i="3"/>
  <c r="D48" i="3"/>
  <c r="D47" i="3"/>
  <c r="D46" i="3"/>
  <c r="B69" i="7" l="1"/>
  <c r="F69" i="7" l="1"/>
  <c r="E69" i="7"/>
  <c r="D69" i="7"/>
  <c r="K68" i="7" l="1"/>
  <c r="N55" i="3"/>
  <c r="M55" i="3"/>
  <c r="M56" i="3"/>
  <c r="I15" i="3" l="1"/>
  <c r="I113" i="10"/>
  <c r="H113" i="10"/>
  <c r="G113" i="10"/>
  <c r="F113" i="10"/>
  <c r="E113" i="10"/>
  <c r="D113" i="10"/>
  <c r="C113" i="10"/>
  <c r="A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I103" i="10"/>
  <c r="H103" i="10"/>
  <c r="F103" i="10"/>
  <c r="E103" i="10"/>
  <c r="D103" i="10"/>
  <c r="C103" i="10"/>
  <c r="A103" i="10"/>
  <c r="A104" i="10" s="1"/>
  <c r="A105" i="10" s="1"/>
  <c r="A106" i="10" s="1"/>
  <c r="A107" i="10" s="1"/>
  <c r="A108" i="10" s="1"/>
  <c r="A109" i="10" s="1"/>
  <c r="A110" i="10" s="1"/>
  <c r="A111" i="10" s="1"/>
  <c r="A112" i="10" s="1"/>
  <c r="I102" i="10"/>
  <c r="F102" i="10"/>
  <c r="F104" i="10" s="1"/>
  <c r="F105" i="10" s="1"/>
  <c r="F106" i="10" s="1"/>
  <c r="F107" i="10" s="1"/>
  <c r="F108" i="10" s="1"/>
  <c r="F109" i="10" s="1"/>
  <c r="F110" i="10" s="1"/>
  <c r="F111" i="10" s="1"/>
  <c r="F112" i="10" s="1"/>
  <c r="E102" i="10"/>
  <c r="D102" i="10"/>
  <c r="C102" i="10"/>
  <c r="I101" i="10"/>
  <c r="H101" i="10"/>
  <c r="E101" i="10"/>
  <c r="D101" i="10"/>
  <c r="C101" i="10"/>
  <c r="J101" i="10" s="1"/>
  <c r="J95" i="10"/>
  <c r="I95" i="10"/>
  <c r="H95" i="10"/>
  <c r="G95" i="10"/>
  <c r="F95" i="10"/>
  <c r="E95" i="10"/>
  <c r="D95" i="10"/>
  <c r="C95" i="10"/>
  <c r="A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F86" i="10"/>
  <c r="F87" i="10" s="1"/>
  <c r="F88" i="10" s="1"/>
  <c r="F89" i="10" s="1"/>
  <c r="F90" i="10" s="1"/>
  <c r="F91" i="10" s="1"/>
  <c r="F92" i="10" s="1"/>
  <c r="F93" i="10" s="1"/>
  <c r="F94" i="10" s="1"/>
  <c r="E86" i="10"/>
  <c r="D86" i="10"/>
  <c r="C86" i="10"/>
  <c r="I85" i="10"/>
  <c r="H85" i="10"/>
  <c r="F85" i="10"/>
  <c r="E85" i="10"/>
  <c r="D85" i="10"/>
  <c r="C85" i="10"/>
  <c r="A85" i="10"/>
  <c r="A86" i="10" s="1"/>
  <c r="A87" i="10" s="1"/>
  <c r="A88" i="10" s="1"/>
  <c r="A89" i="10" s="1"/>
  <c r="A90" i="10" s="1"/>
  <c r="A91" i="10" s="1"/>
  <c r="A92" i="10" s="1"/>
  <c r="A93" i="10" s="1"/>
  <c r="A94" i="10" s="1"/>
  <c r="I84" i="10"/>
  <c r="F84" i="10"/>
  <c r="E84" i="10"/>
  <c r="D84" i="10"/>
  <c r="C84" i="10"/>
  <c r="I83" i="10"/>
  <c r="J83" i="10" s="1"/>
  <c r="H83" i="10"/>
  <c r="E83" i="10"/>
  <c r="D83" i="10"/>
  <c r="C83" i="10"/>
  <c r="E78" i="10"/>
  <c r="D78" i="10"/>
  <c r="C78" i="10"/>
  <c r="W77" i="10"/>
  <c r="V77" i="10"/>
  <c r="U77" i="10"/>
  <c r="E77" i="10"/>
  <c r="D77" i="10"/>
  <c r="C77" i="10"/>
  <c r="W76" i="10"/>
  <c r="V76" i="10"/>
  <c r="U76" i="10"/>
  <c r="E76" i="10"/>
  <c r="D76" i="10"/>
  <c r="C76" i="10"/>
  <c r="W75" i="10"/>
  <c r="V75" i="10"/>
  <c r="U75" i="10"/>
  <c r="E75" i="10"/>
  <c r="D75" i="10"/>
  <c r="C75" i="10"/>
  <c r="W74" i="10"/>
  <c r="V74" i="10"/>
  <c r="U74" i="10"/>
  <c r="E74" i="10"/>
  <c r="D74" i="10"/>
  <c r="C74" i="10"/>
  <c r="W73" i="10"/>
  <c r="V73" i="10"/>
  <c r="U73" i="10"/>
  <c r="E73" i="10"/>
  <c r="D73" i="10"/>
  <c r="C73" i="10"/>
  <c r="W72" i="10"/>
  <c r="V72" i="10"/>
  <c r="U72" i="10"/>
  <c r="E72" i="10"/>
  <c r="D72" i="10"/>
  <c r="C72" i="10"/>
  <c r="W71" i="10"/>
  <c r="V71" i="10"/>
  <c r="U71" i="10"/>
  <c r="E71" i="10"/>
  <c r="D71" i="10"/>
  <c r="C71" i="10"/>
  <c r="W70" i="10"/>
  <c r="V70" i="10"/>
  <c r="U70" i="10"/>
  <c r="E70" i="10"/>
  <c r="D70" i="10"/>
  <c r="C70" i="10"/>
  <c r="W69" i="10"/>
  <c r="V69" i="10"/>
  <c r="U69" i="10"/>
  <c r="E69" i="10"/>
  <c r="D69" i="10"/>
  <c r="C69" i="10"/>
  <c r="A69" i="10"/>
  <c r="A70" i="10" s="1"/>
  <c r="A71" i="10" s="1"/>
  <c r="A72" i="10" s="1"/>
  <c r="A73" i="10" s="1"/>
  <c r="A74" i="10" s="1"/>
  <c r="A75" i="10" s="1"/>
  <c r="A76" i="10" s="1"/>
  <c r="A77" i="10" s="1"/>
  <c r="A78" i="10" s="1"/>
  <c r="W68" i="10"/>
  <c r="V68" i="10"/>
  <c r="U68" i="10"/>
  <c r="I68" i="10"/>
  <c r="E68" i="10"/>
  <c r="D68" i="10"/>
  <c r="C68" i="10"/>
  <c r="W67" i="10"/>
  <c r="V67" i="10"/>
  <c r="U67" i="10"/>
  <c r="J67" i="10"/>
  <c r="I67" i="10"/>
  <c r="F67" i="10"/>
  <c r="E67" i="10"/>
  <c r="D67" i="10"/>
  <c r="C67" i="10"/>
  <c r="I66" i="10"/>
  <c r="J66" i="10" s="1"/>
  <c r="C66" i="10"/>
  <c r="H63" i="10"/>
  <c r="I63" i="10" s="1"/>
  <c r="E61" i="10"/>
  <c r="D61" i="10"/>
  <c r="C61" i="10"/>
  <c r="W60" i="10"/>
  <c r="V60" i="10"/>
  <c r="U60" i="10"/>
  <c r="E60" i="10"/>
  <c r="D60" i="10"/>
  <c r="C60" i="10"/>
  <c r="W59" i="10"/>
  <c r="V59" i="10"/>
  <c r="U59" i="10"/>
  <c r="E59" i="10"/>
  <c r="D59" i="10"/>
  <c r="C59" i="10"/>
  <c r="W58" i="10"/>
  <c r="V58" i="10"/>
  <c r="U58" i="10"/>
  <c r="E58" i="10"/>
  <c r="D58" i="10"/>
  <c r="C58" i="10"/>
  <c r="W57" i="10"/>
  <c r="V57" i="10"/>
  <c r="U57" i="10"/>
  <c r="E57" i="10"/>
  <c r="D57" i="10"/>
  <c r="C57" i="10"/>
  <c r="W56" i="10"/>
  <c r="V56" i="10"/>
  <c r="U56" i="10"/>
  <c r="E56" i="10"/>
  <c r="D56" i="10"/>
  <c r="C56" i="10"/>
  <c r="W55" i="10"/>
  <c r="V55" i="10"/>
  <c r="U55" i="10"/>
  <c r="E55" i="10"/>
  <c r="D55" i="10"/>
  <c r="C55" i="10"/>
  <c r="W54" i="10"/>
  <c r="V54" i="10"/>
  <c r="U54" i="10"/>
  <c r="E54" i="10"/>
  <c r="D54" i="10"/>
  <c r="C54" i="10"/>
  <c r="W53" i="10"/>
  <c r="V53" i="10"/>
  <c r="U53" i="10"/>
  <c r="E53" i="10"/>
  <c r="D53" i="10"/>
  <c r="C53" i="10"/>
  <c r="W52" i="10"/>
  <c r="V52" i="10"/>
  <c r="U52" i="10"/>
  <c r="E52" i="10"/>
  <c r="D52" i="10"/>
  <c r="C52" i="10"/>
  <c r="W51" i="10"/>
  <c r="V51" i="10"/>
  <c r="U51" i="10"/>
  <c r="E51" i="10"/>
  <c r="D51" i="10"/>
  <c r="C51" i="10"/>
  <c r="A51" i="10"/>
  <c r="I51" i="10" s="1"/>
  <c r="W50" i="10"/>
  <c r="V50" i="10"/>
  <c r="U50" i="10"/>
  <c r="J50" i="10"/>
  <c r="I50" i="10"/>
  <c r="F50" i="10"/>
  <c r="E50" i="10"/>
  <c r="D50" i="10"/>
  <c r="C50" i="10"/>
  <c r="W49" i="10"/>
  <c r="V49" i="10"/>
  <c r="U49" i="10"/>
  <c r="I49" i="10"/>
  <c r="J49" i="10" s="1"/>
  <c r="C49" i="10"/>
  <c r="W48" i="10"/>
  <c r="V48" i="10"/>
  <c r="U48" i="10"/>
  <c r="W47" i="10"/>
  <c r="V47" i="10"/>
  <c r="U47" i="10"/>
  <c r="W46" i="10"/>
  <c r="V46" i="10"/>
  <c r="U46" i="10"/>
  <c r="W44" i="10"/>
  <c r="V44" i="10"/>
  <c r="U44" i="10"/>
  <c r="E44" i="10"/>
  <c r="D44" i="10"/>
  <c r="C44" i="10"/>
  <c r="W43" i="10"/>
  <c r="V43" i="10"/>
  <c r="U43" i="10"/>
  <c r="W42" i="10"/>
  <c r="V42" i="10"/>
  <c r="U42" i="10"/>
  <c r="W41" i="10"/>
  <c r="V41" i="10"/>
  <c r="U41" i="10"/>
  <c r="W40" i="10"/>
  <c r="V40" i="10"/>
  <c r="U40" i="10"/>
  <c r="W39" i="10"/>
  <c r="V39" i="10"/>
  <c r="U39" i="10"/>
  <c r="W38" i="10"/>
  <c r="V38" i="10"/>
  <c r="U38" i="10"/>
  <c r="W37" i="10"/>
  <c r="V37" i="10"/>
  <c r="U37" i="10"/>
  <c r="W36" i="10"/>
  <c r="V36" i="10"/>
  <c r="U36" i="10"/>
  <c r="W35" i="10"/>
  <c r="V35" i="10"/>
  <c r="U35" i="10"/>
  <c r="W34" i="10"/>
  <c r="V34" i="10"/>
  <c r="U34" i="10"/>
  <c r="F34" i="10"/>
  <c r="E34" i="10"/>
  <c r="D34" i="10"/>
  <c r="C34" i="10"/>
  <c r="A34" i="10"/>
  <c r="W33" i="10"/>
  <c r="V33" i="10"/>
  <c r="U33" i="10"/>
  <c r="I32" i="10"/>
  <c r="J32" i="10" s="1"/>
  <c r="C32" i="10"/>
  <c r="W31" i="10"/>
  <c r="V31" i="10"/>
  <c r="U31" i="10"/>
  <c r="W30" i="10"/>
  <c r="V30" i="10"/>
  <c r="U30" i="10"/>
  <c r="W27" i="10"/>
  <c r="V27" i="10"/>
  <c r="U27" i="10"/>
  <c r="W26" i="10"/>
  <c r="V26" i="10"/>
  <c r="U26" i="10"/>
  <c r="W25" i="10"/>
  <c r="V25" i="10"/>
  <c r="U25" i="10"/>
  <c r="W24" i="10"/>
  <c r="V24" i="10"/>
  <c r="U24" i="10"/>
  <c r="E24" i="10"/>
  <c r="D24" i="10"/>
  <c r="C24" i="10"/>
  <c r="W23" i="10"/>
  <c r="V23" i="10"/>
  <c r="U23" i="10"/>
  <c r="E23" i="10"/>
  <c r="D23" i="10"/>
  <c r="C23" i="10"/>
  <c r="W22" i="10"/>
  <c r="V22" i="10"/>
  <c r="U22" i="10"/>
  <c r="E22" i="10"/>
  <c r="D22" i="10"/>
  <c r="C22" i="10"/>
  <c r="W21" i="10"/>
  <c r="V21" i="10"/>
  <c r="U21" i="10"/>
  <c r="E21" i="10"/>
  <c r="D21" i="10"/>
  <c r="C21" i="10"/>
  <c r="W20" i="10"/>
  <c r="V20" i="10"/>
  <c r="U20" i="10"/>
  <c r="E20" i="10"/>
  <c r="D20" i="10"/>
  <c r="C20" i="10"/>
  <c r="W19" i="10"/>
  <c r="V19" i="10"/>
  <c r="U19" i="10"/>
  <c r="E19" i="10"/>
  <c r="D19" i="10"/>
  <c r="C19" i="10"/>
  <c r="W18" i="10"/>
  <c r="V18" i="10"/>
  <c r="U18" i="10"/>
  <c r="E18" i="10"/>
  <c r="D18" i="10"/>
  <c r="C18" i="10"/>
  <c r="W17" i="10"/>
  <c r="V17" i="10"/>
  <c r="U17" i="10"/>
  <c r="E17" i="10"/>
  <c r="D17" i="10"/>
  <c r="C17" i="10"/>
  <c r="A18" i="10"/>
  <c r="A19" i="10" s="1"/>
  <c r="A20" i="10" s="1"/>
  <c r="A21" i="10" s="1"/>
  <c r="A22" i="10" s="1"/>
  <c r="A23" i="10" s="1"/>
  <c r="A24" i="10" s="1"/>
  <c r="A25" i="10" s="1"/>
  <c r="A26" i="10" s="1"/>
  <c r="W16" i="10"/>
  <c r="V16" i="10"/>
  <c r="U16" i="10"/>
  <c r="J16" i="10"/>
  <c r="I16" i="10"/>
  <c r="F16" i="10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E16" i="10"/>
  <c r="D16" i="10"/>
  <c r="C16" i="10"/>
  <c r="R15" i="10"/>
  <c r="I15" i="10"/>
  <c r="J15" i="10" s="1"/>
  <c r="C15" i="10"/>
  <c r="H14" i="10"/>
  <c r="I14" i="10" s="1"/>
  <c r="I13" i="10"/>
  <c r="H13" i="10"/>
  <c r="F13" i="10"/>
  <c r="E13" i="10"/>
  <c r="D13" i="10"/>
  <c r="C13" i="10"/>
  <c r="I12" i="10"/>
  <c r="H12" i="10"/>
  <c r="F12" i="10"/>
  <c r="E12" i="10"/>
  <c r="D12" i="10"/>
  <c r="C12" i="10"/>
  <c r="I11" i="10"/>
  <c r="H11" i="10"/>
  <c r="F11" i="10"/>
  <c r="E11" i="10"/>
  <c r="D11" i="10"/>
  <c r="C11" i="10"/>
  <c r="I10" i="10"/>
  <c r="H10" i="10"/>
  <c r="F10" i="10"/>
  <c r="E10" i="10"/>
  <c r="D10" i="10"/>
  <c r="C10" i="10"/>
  <c r="I9" i="10"/>
  <c r="H9" i="10"/>
  <c r="F9" i="10"/>
  <c r="E9" i="10"/>
  <c r="D9" i="10"/>
  <c r="C9" i="10"/>
  <c r="E8" i="10"/>
  <c r="D8" i="10"/>
  <c r="C8" i="10"/>
  <c r="I7" i="10"/>
  <c r="H7" i="10"/>
  <c r="F7" i="10"/>
  <c r="F8" i="10" s="1"/>
  <c r="E7" i="10"/>
  <c r="D7" i="10"/>
  <c r="C7" i="10"/>
  <c r="I6" i="10"/>
  <c r="H6" i="10"/>
  <c r="F6" i="10"/>
  <c r="E6" i="10"/>
  <c r="D6" i="10"/>
  <c r="C6" i="10"/>
  <c r="F5" i="10"/>
  <c r="E5" i="10"/>
  <c r="D5" i="10"/>
  <c r="C5" i="10"/>
  <c r="I4" i="10"/>
  <c r="H4" i="10"/>
  <c r="F4" i="10"/>
  <c r="E4" i="10"/>
  <c r="D4" i="10"/>
  <c r="C4" i="10"/>
  <c r="I3" i="10"/>
  <c r="H3" i="10"/>
  <c r="F3" i="10"/>
  <c r="E3" i="10"/>
  <c r="D3" i="10"/>
  <c r="C3" i="10"/>
  <c r="N2" i="10"/>
  <c r="I2" i="10"/>
  <c r="S57" i="10" l="1"/>
  <c r="F51" i="10"/>
  <c r="F52" i="10" s="1"/>
  <c r="F53" i="10" s="1"/>
  <c r="F54" i="10" s="1"/>
  <c r="F55" i="10" s="1"/>
  <c r="F56" i="10" s="1"/>
  <c r="F57" i="10" s="1"/>
  <c r="F58" i="10" s="1"/>
  <c r="F59" i="10" s="1"/>
  <c r="F60" i="10" s="1"/>
  <c r="F61" i="10" s="1"/>
  <c r="A52" i="10"/>
  <c r="A53" i="10" s="1"/>
  <c r="A54" i="10" s="1"/>
  <c r="A55" i="10" s="1"/>
  <c r="A56" i="10" s="1"/>
  <c r="A57" i="10" s="1"/>
  <c r="A58" i="10" s="1"/>
  <c r="A59" i="10" s="1"/>
  <c r="A60" i="10" s="1"/>
  <c r="A61" i="10" s="1"/>
  <c r="S51" i="10"/>
  <c r="S62" i="10"/>
  <c r="C98" i="10"/>
  <c r="S68" i="10"/>
  <c r="S52" i="10"/>
  <c r="S56" i="10"/>
  <c r="S63" i="10"/>
  <c r="C64" i="10"/>
  <c r="S54" i="10"/>
  <c r="S58" i="10"/>
  <c r="S19" i="10"/>
  <c r="S60" i="10"/>
  <c r="S50" i="10"/>
  <c r="S53" i="10"/>
  <c r="S26" i="10"/>
  <c r="S67" i="10"/>
  <c r="S23" i="10"/>
  <c r="S34" i="10"/>
  <c r="S18" i="10"/>
  <c r="S24" i="10"/>
  <c r="S20" i="10"/>
  <c r="S21" i="10"/>
  <c r="S69" i="10"/>
  <c r="F68" i="10"/>
  <c r="F69" i="10" s="1"/>
  <c r="S72" i="10"/>
  <c r="S76" i="10"/>
  <c r="S77" i="10"/>
  <c r="S74" i="10"/>
  <c r="S75" i="10"/>
  <c r="S27" i="10"/>
  <c r="S73" i="10"/>
  <c r="C97" i="10"/>
  <c r="C81" i="10"/>
  <c r="S70" i="10"/>
  <c r="S25" i="10"/>
  <c r="S17" i="10"/>
  <c r="S59" i="10"/>
  <c r="S22" i="10"/>
  <c r="S71" i="10"/>
  <c r="S28" i="10"/>
  <c r="S55" i="10"/>
  <c r="C80" i="10"/>
  <c r="C63" i="10"/>
  <c r="S61" i="10"/>
  <c r="F70" i="10" l="1"/>
  <c r="J96" i="10"/>
  <c r="H8" i="10"/>
  <c r="I8" i="10" s="1"/>
  <c r="J62" i="10"/>
  <c r="J79" i="10"/>
  <c r="F71" i="10" l="1"/>
  <c r="F72" i="10" s="1"/>
  <c r="F73" i="10" s="1"/>
  <c r="F74" i="10" s="1"/>
  <c r="F75" i="10" s="1"/>
  <c r="F76" i="10" s="1"/>
  <c r="F77" i="10" s="1"/>
  <c r="F78" i="10" s="1"/>
  <c r="E10" i="3" l="1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F3" i="3"/>
  <c r="F4" i="3" s="1"/>
  <c r="F5" i="3" s="1"/>
  <c r="F6" i="3" s="1"/>
  <c r="F7" i="3" s="1"/>
  <c r="F8" i="3" s="1"/>
  <c r="E3" i="3"/>
  <c r="D3" i="3"/>
  <c r="C3" i="3"/>
  <c r="F9" i="3" l="1"/>
  <c r="F10" i="3" s="1"/>
  <c r="X78" i="7"/>
  <c r="W78" i="7"/>
  <c r="V78" i="7"/>
  <c r="X77" i="7"/>
  <c r="W77" i="7"/>
  <c r="V77" i="7"/>
  <c r="X76" i="7"/>
  <c r="W76" i="7"/>
  <c r="V76" i="7"/>
  <c r="X75" i="7"/>
  <c r="W75" i="7"/>
  <c r="V75" i="7"/>
  <c r="X74" i="7"/>
  <c r="W74" i="7"/>
  <c r="V74" i="7"/>
  <c r="X73" i="7"/>
  <c r="W73" i="7"/>
  <c r="V73" i="7"/>
  <c r="X72" i="7"/>
  <c r="W72" i="7"/>
  <c r="V72" i="7"/>
  <c r="X71" i="7"/>
  <c r="W71" i="7"/>
  <c r="V71" i="7"/>
  <c r="X70" i="7"/>
  <c r="W70" i="7"/>
  <c r="V70" i="7"/>
  <c r="X69" i="7"/>
  <c r="W69" i="7"/>
  <c r="V69" i="7"/>
  <c r="X68" i="7"/>
  <c r="W68" i="7"/>
  <c r="V68" i="7"/>
  <c r="X61" i="7"/>
  <c r="W61" i="7"/>
  <c r="V61" i="7"/>
  <c r="X60" i="7"/>
  <c r="W60" i="7"/>
  <c r="V60" i="7"/>
  <c r="X59" i="7"/>
  <c r="W59" i="7"/>
  <c r="V59" i="7"/>
  <c r="X58" i="7"/>
  <c r="W58" i="7"/>
  <c r="V58" i="7"/>
  <c r="X57" i="7"/>
  <c r="W57" i="7"/>
  <c r="V57" i="7"/>
  <c r="X56" i="7"/>
  <c r="W56" i="7"/>
  <c r="V56" i="7"/>
  <c r="X55" i="7"/>
  <c r="W55" i="7"/>
  <c r="V55" i="7"/>
  <c r="X54" i="7"/>
  <c r="W54" i="7"/>
  <c r="V54" i="7"/>
  <c r="X53" i="7"/>
  <c r="W53" i="7"/>
  <c r="V53" i="7"/>
  <c r="X52" i="7"/>
  <c r="W52" i="7"/>
  <c r="V52" i="7"/>
  <c r="X51" i="7"/>
  <c r="W51" i="7"/>
  <c r="V51" i="7"/>
  <c r="X45" i="7"/>
  <c r="W45" i="7"/>
  <c r="V45" i="7"/>
  <c r="X44" i="7"/>
  <c r="W44" i="7"/>
  <c r="V44" i="7"/>
  <c r="X43" i="7"/>
  <c r="W43" i="7"/>
  <c r="V43" i="7"/>
  <c r="X42" i="7"/>
  <c r="W42" i="7"/>
  <c r="V42" i="7"/>
  <c r="X41" i="7"/>
  <c r="W41" i="7"/>
  <c r="V41" i="7"/>
  <c r="X40" i="7"/>
  <c r="W40" i="7"/>
  <c r="V40" i="7"/>
  <c r="X39" i="7"/>
  <c r="W39" i="7"/>
  <c r="V39" i="7"/>
  <c r="X38" i="7"/>
  <c r="W38" i="7"/>
  <c r="V38" i="7"/>
  <c r="X37" i="7"/>
  <c r="W37" i="7"/>
  <c r="V37" i="7"/>
  <c r="X36" i="7"/>
  <c r="W36" i="7"/>
  <c r="V36" i="7"/>
  <c r="X35" i="7"/>
  <c r="W35" i="7"/>
  <c r="V35" i="7"/>
  <c r="X34" i="7"/>
  <c r="W34" i="7"/>
  <c r="V34" i="7"/>
  <c r="N25" i="4" l="1"/>
  <c r="N24" i="4"/>
  <c r="N17" i="4"/>
  <c r="C60" i="3"/>
  <c r="F59" i="3" l="1"/>
  <c r="C65" i="3"/>
  <c r="I58" i="3" l="1"/>
  <c r="I29" i="3"/>
  <c r="C44" i="4"/>
  <c r="J84" i="7" l="1"/>
  <c r="K84" i="7" s="1"/>
  <c r="K85" i="7"/>
  <c r="J13" i="7" l="1"/>
  <c r="J14" i="7"/>
  <c r="J16" i="7"/>
  <c r="K16" i="7" s="1"/>
  <c r="D18" i="8"/>
  <c r="E18" i="8"/>
  <c r="A28" i="8"/>
  <c r="A29" i="8"/>
  <c r="A19" i="8"/>
  <c r="A20" i="8"/>
  <c r="A21" i="8"/>
  <c r="A22" i="8"/>
  <c r="A23" i="8"/>
  <c r="A24" i="8"/>
  <c r="A25" i="8"/>
  <c r="A26" i="8"/>
  <c r="A27" i="8"/>
  <c r="M4" i="8"/>
  <c r="M3" i="8"/>
  <c r="D2" i="8"/>
  <c r="E2" i="8"/>
  <c r="B3" i="8"/>
  <c r="C3" i="8"/>
  <c r="D3" i="8"/>
  <c r="E3" i="8"/>
  <c r="G3" i="8" s="1"/>
  <c r="B4" i="8"/>
  <c r="C4" i="8"/>
  <c r="A3" i="8"/>
  <c r="A4" i="8"/>
  <c r="A5" i="8"/>
  <c r="A6" i="8"/>
  <c r="A7" i="8"/>
  <c r="A8" i="8"/>
  <c r="A9" i="8"/>
  <c r="A10" i="8"/>
  <c r="A11" i="8"/>
  <c r="A12" i="8"/>
  <c r="A13" i="8"/>
  <c r="H3" i="8" l="1"/>
  <c r="F3" i="8"/>
  <c r="I15" i="4" l="1"/>
  <c r="I29" i="4"/>
  <c r="K99" i="7"/>
  <c r="F96" i="7"/>
  <c r="E96" i="7"/>
  <c r="D96" i="7"/>
  <c r="F95" i="7"/>
  <c r="E95" i="7"/>
  <c r="D95" i="7"/>
  <c r="F94" i="7"/>
  <c r="E94" i="7"/>
  <c r="D94" i="7"/>
  <c r="F93" i="7"/>
  <c r="E93" i="7"/>
  <c r="D93" i="7"/>
  <c r="F92" i="7"/>
  <c r="E92" i="7"/>
  <c r="D92" i="7"/>
  <c r="F91" i="7"/>
  <c r="E91" i="7"/>
  <c r="D91" i="7"/>
  <c r="F90" i="7"/>
  <c r="E90" i="7"/>
  <c r="D90" i="7"/>
  <c r="F89" i="7"/>
  <c r="E89" i="7"/>
  <c r="D89" i="7"/>
  <c r="F88" i="7"/>
  <c r="E88" i="7"/>
  <c r="D88" i="7"/>
  <c r="F86" i="7"/>
  <c r="E86" i="7"/>
  <c r="D86" i="7"/>
  <c r="B86" i="7"/>
  <c r="J85" i="7"/>
  <c r="G85" i="7"/>
  <c r="G86" i="7" s="1"/>
  <c r="G87" i="7" s="1"/>
  <c r="F85" i="7"/>
  <c r="E85" i="7"/>
  <c r="D85" i="7"/>
  <c r="I84" i="7"/>
  <c r="F84" i="7"/>
  <c r="E84" i="7"/>
  <c r="D84" i="7"/>
  <c r="F74" i="7"/>
  <c r="E74" i="7"/>
  <c r="D74" i="7"/>
  <c r="F73" i="7"/>
  <c r="E73" i="7"/>
  <c r="D73" i="7"/>
  <c r="F72" i="7"/>
  <c r="E72" i="7"/>
  <c r="D72" i="7"/>
  <c r="F71" i="7"/>
  <c r="E71" i="7"/>
  <c r="D71" i="7"/>
  <c r="F70" i="7"/>
  <c r="E70" i="7"/>
  <c r="D70" i="7"/>
  <c r="B70" i="7"/>
  <c r="B71" i="7" s="1"/>
  <c r="B72" i="7" s="1"/>
  <c r="B73" i="7" s="1"/>
  <c r="B74" i="7" s="1"/>
  <c r="B75" i="7" s="1"/>
  <c r="B76" i="7" s="1"/>
  <c r="B77" i="7" s="1"/>
  <c r="B78" i="7" s="1"/>
  <c r="G68" i="7"/>
  <c r="G69" i="7" s="1"/>
  <c r="F68" i="7"/>
  <c r="E68" i="7"/>
  <c r="D68" i="7"/>
  <c r="D67" i="7"/>
  <c r="T64" i="7"/>
  <c r="T63" i="7"/>
  <c r="F62" i="7"/>
  <c r="E62" i="7"/>
  <c r="D62" i="7"/>
  <c r="F61" i="7"/>
  <c r="E61" i="7"/>
  <c r="D61" i="7"/>
  <c r="F60" i="7"/>
  <c r="E60" i="7"/>
  <c r="D60" i="7"/>
  <c r="F59" i="7"/>
  <c r="E59" i="7"/>
  <c r="D59" i="7"/>
  <c r="F58" i="7"/>
  <c r="E58" i="7"/>
  <c r="D58" i="7"/>
  <c r="F57" i="7"/>
  <c r="E57" i="7"/>
  <c r="D57" i="7"/>
  <c r="X50" i="7"/>
  <c r="W50" i="7"/>
  <c r="V50" i="7"/>
  <c r="F56" i="7"/>
  <c r="E56" i="7"/>
  <c r="D56" i="7"/>
  <c r="X49" i="7"/>
  <c r="W49" i="7"/>
  <c r="V49" i="7"/>
  <c r="F55" i="7"/>
  <c r="E55" i="7"/>
  <c r="D55" i="7"/>
  <c r="X48" i="7"/>
  <c r="W48" i="7"/>
  <c r="V48" i="7"/>
  <c r="F54" i="7"/>
  <c r="E54" i="7"/>
  <c r="D54" i="7"/>
  <c r="X47" i="7"/>
  <c r="W47" i="7"/>
  <c r="V47" i="7"/>
  <c r="F53" i="7"/>
  <c r="E53" i="7"/>
  <c r="D53" i="7"/>
  <c r="I52" i="7"/>
  <c r="G52" i="7"/>
  <c r="F52" i="7"/>
  <c r="E52" i="7"/>
  <c r="D52" i="7"/>
  <c r="B52" i="7"/>
  <c r="J52" i="7" s="1"/>
  <c r="G51" i="7"/>
  <c r="F51" i="7"/>
  <c r="E51" i="7"/>
  <c r="D51" i="7"/>
  <c r="J50" i="7"/>
  <c r="K50" i="7" s="1"/>
  <c r="D50" i="7"/>
  <c r="F47" i="7"/>
  <c r="E47" i="7"/>
  <c r="E45" i="7"/>
  <c r="D45" i="7"/>
  <c r="F44" i="7"/>
  <c r="E44" i="7"/>
  <c r="D44" i="7"/>
  <c r="F43" i="7"/>
  <c r="E43" i="7"/>
  <c r="D43" i="7"/>
  <c r="F42" i="7"/>
  <c r="E42" i="7"/>
  <c r="D42" i="7"/>
  <c r="F41" i="7"/>
  <c r="E41" i="7"/>
  <c r="D41" i="7"/>
  <c r="F40" i="7"/>
  <c r="E40" i="7"/>
  <c r="D40" i="7"/>
  <c r="F39" i="7"/>
  <c r="E39" i="7"/>
  <c r="D39" i="7"/>
  <c r="F38" i="7"/>
  <c r="E38" i="7"/>
  <c r="D38" i="7"/>
  <c r="F37" i="7"/>
  <c r="E37" i="7"/>
  <c r="D37" i="7"/>
  <c r="F36" i="7"/>
  <c r="E36" i="7"/>
  <c r="D36" i="7"/>
  <c r="X32" i="7"/>
  <c r="W32" i="7"/>
  <c r="V32" i="7"/>
  <c r="F35" i="7"/>
  <c r="E35" i="7"/>
  <c r="D35" i="7"/>
  <c r="B35" i="7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X31" i="7"/>
  <c r="W31" i="7"/>
  <c r="V31" i="7"/>
  <c r="K34" i="7"/>
  <c r="J34" i="7"/>
  <c r="G34" i="7"/>
  <c r="F34" i="7"/>
  <c r="E34" i="7"/>
  <c r="D34" i="7"/>
  <c r="D33" i="7"/>
  <c r="X28" i="7"/>
  <c r="W28" i="7"/>
  <c r="V28" i="7"/>
  <c r="X27" i="7"/>
  <c r="W27" i="7"/>
  <c r="V27" i="7"/>
  <c r="X26" i="7"/>
  <c r="W26" i="7"/>
  <c r="V26" i="7"/>
  <c r="X25" i="7"/>
  <c r="W25" i="7"/>
  <c r="V25" i="7"/>
  <c r="X24" i="7"/>
  <c r="W24" i="7"/>
  <c r="V24" i="7"/>
  <c r="X23" i="7"/>
  <c r="W23" i="7"/>
  <c r="V23" i="7"/>
  <c r="X22" i="7"/>
  <c r="W22" i="7"/>
  <c r="V22" i="7"/>
  <c r="X21" i="7"/>
  <c r="W21" i="7"/>
  <c r="V21" i="7"/>
  <c r="X20" i="7"/>
  <c r="W20" i="7"/>
  <c r="V20" i="7"/>
  <c r="X19" i="7"/>
  <c r="W19" i="7"/>
  <c r="V19" i="7"/>
  <c r="F19" i="7"/>
  <c r="E19" i="7"/>
  <c r="D19" i="7"/>
  <c r="X18" i="7"/>
  <c r="W18" i="7"/>
  <c r="V18" i="7"/>
  <c r="F18" i="7"/>
  <c r="E18" i="7"/>
  <c r="D18" i="7"/>
  <c r="B18" i="7"/>
  <c r="B19" i="7" s="1"/>
  <c r="B20" i="7" s="1"/>
  <c r="B21" i="7" s="1"/>
  <c r="B22" i="7" s="1"/>
  <c r="B23" i="7" s="1"/>
  <c r="B24" i="7" s="1"/>
  <c r="B25" i="7" s="1"/>
  <c r="B26" i="7" s="1"/>
  <c r="B27" i="7" s="1"/>
  <c r="B30" i="7" s="1"/>
  <c r="B31" i="7" s="1"/>
  <c r="X17" i="7"/>
  <c r="W17" i="7"/>
  <c r="V17" i="7"/>
  <c r="S16" i="7"/>
  <c r="D16" i="7"/>
  <c r="I15" i="7"/>
  <c r="J15" i="7" s="1"/>
  <c r="I14" i="7"/>
  <c r="G14" i="7"/>
  <c r="F14" i="7"/>
  <c r="E14" i="7"/>
  <c r="D14" i="7"/>
  <c r="I13" i="7"/>
  <c r="G13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G6" i="7"/>
  <c r="G7" i="7" s="1"/>
  <c r="F6" i="7"/>
  <c r="E6" i="7"/>
  <c r="D6" i="7"/>
  <c r="G5" i="7"/>
  <c r="F5" i="7"/>
  <c r="E5" i="7"/>
  <c r="D5" i="7"/>
  <c r="J4" i="7"/>
  <c r="I4" i="7"/>
  <c r="G4" i="7"/>
  <c r="F4" i="7"/>
  <c r="E4" i="7"/>
  <c r="D4" i="7"/>
  <c r="O3" i="7"/>
  <c r="B18" i="8" s="1"/>
  <c r="J3" i="7"/>
  <c r="B87" i="7" l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J47" i="7"/>
  <c r="T55" i="7"/>
  <c r="T36" i="7"/>
  <c r="T56" i="7"/>
  <c r="T61" i="7"/>
  <c r="G8" i="7"/>
  <c r="G9" i="7" s="1"/>
  <c r="G10" i="7" s="1"/>
  <c r="T73" i="7"/>
  <c r="T76" i="7"/>
  <c r="T59" i="7"/>
  <c r="T72" i="7"/>
  <c r="T71" i="7"/>
  <c r="T75" i="7"/>
  <c r="T70" i="7"/>
  <c r="T74" i="7"/>
  <c r="T42" i="7"/>
  <c r="T37" i="7"/>
  <c r="T39" i="7"/>
  <c r="G35" i="7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T54" i="7"/>
  <c r="T44" i="7"/>
  <c r="T38" i="7"/>
  <c r="T60" i="7"/>
  <c r="T53" i="7"/>
  <c r="T57" i="7"/>
  <c r="T58" i="7"/>
  <c r="T78" i="7"/>
  <c r="T41" i="7"/>
  <c r="T40" i="7"/>
  <c r="T43" i="7"/>
  <c r="G88" i="7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T29" i="7"/>
  <c r="G53" i="7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T68" i="7"/>
  <c r="G70" i="7"/>
  <c r="G71" i="7" s="1"/>
  <c r="G72" i="7" s="1"/>
  <c r="G73" i="7" s="1"/>
  <c r="G74" i="7" s="1"/>
  <c r="G75" i="7" s="1"/>
  <c r="G76" i="7" s="1"/>
  <c r="G77" i="7" s="1"/>
  <c r="G78" i="7" s="1"/>
  <c r="D99" i="7"/>
  <c r="D48" i="7"/>
  <c r="T62" i="7"/>
  <c r="T69" i="7"/>
  <c r="T34" i="7"/>
  <c r="T19" i="7"/>
  <c r="T28" i="7"/>
  <c r="T22" i="7"/>
  <c r="T27" i="7"/>
  <c r="T24" i="7"/>
  <c r="T18" i="7"/>
  <c r="T25" i="7"/>
  <c r="T26" i="7"/>
  <c r="T23" i="7"/>
  <c r="T52" i="7"/>
  <c r="B53" i="7"/>
  <c r="B54" i="7" s="1"/>
  <c r="B55" i="7" s="1"/>
  <c r="B56" i="7" s="1"/>
  <c r="B57" i="7" s="1"/>
  <c r="B58" i="7" s="1"/>
  <c r="B59" i="7" s="1"/>
  <c r="B60" i="7" s="1"/>
  <c r="B61" i="7" s="1"/>
  <c r="B62" i="7" s="1"/>
  <c r="T51" i="7"/>
  <c r="T35" i="7"/>
  <c r="C18" i="8"/>
  <c r="T21" i="7"/>
  <c r="T20" i="7"/>
  <c r="I36" i="4"/>
  <c r="B63" i="7" l="1"/>
  <c r="B64" i="7" s="1"/>
  <c r="N45" i="7"/>
  <c r="G11" i="7"/>
  <c r="G12" i="7" s="1"/>
  <c r="H85" i="4" l="1"/>
  <c r="G85" i="4"/>
  <c r="F85" i="4"/>
  <c r="E85" i="4"/>
  <c r="D85" i="4"/>
  <c r="C85" i="4"/>
  <c r="H84" i="4"/>
  <c r="G84" i="4"/>
  <c r="F84" i="4"/>
  <c r="E84" i="4"/>
  <c r="D84" i="4"/>
  <c r="C84" i="4"/>
  <c r="H83" i="4"/>
  <c r="G83" i="4"/>
  <c r="F83" i="4"/>
  <c r="E83" i="4"/>
  <c r="D83" i="4"/>
  <c r="C83" i="4"/>
  <c r="H82" i="4"/>
  <c r="G82" i="4"/>
  <c r="F82" i="4"/>
  <c r="E82" i="4"/>
  <c r="D82" i="4"/>
  <c r="C82" i="4"/>
  <c r="H81" i="4"/>
  <c r="G81" i="4"/>
  <c r="F81" i="4"/>
  <c r="E81" i="4"/>
  <c r="D81" i="4"/>
  <c r="C81" i="4"/>
  <c r="H80" i="4"/>
  <c r="G80" i="4"/>
  <c r="F80" i="4"/>
  <c r="E80" i="4"/>
  <c r="D80" i="4"/>
  <c r="C80" i="4"/>
  <c r="H79" i="4"/>
  <c r="G79" i="4"/>
  <c r="F79" i="4"/>
  <c r="E79" i="4"/>
  <c r="D79" i="4"/>
  <c r="C79" i="4"/>
  <c r="H78" i="4"/>
  <c r="G78" i="4"/>
  <c r="F78" i="4"/>
  <c r="E78" i="4"/>
  <c r="D78" i="4"/>
  <c r="C78" i="4"/>
  <c r="H77" i="4"/>
  <c r="G77" i="4"/>
  <c r="F77" i="4"/>
  <c r="E77" i="4"/>
  <c r="D77" i="4"/>
  <c r="C77" i="4"/>
  <c r="H76" i="4"/>
  <c r="G76" i="4"/>
  <c r="F76" i="4"/>
  <c r="E76" i="4"/>
  <c r="D76" i="4"/>
  <c r="C76" i="4"/>
  <c r="H70" i="4"/>
  <c r="G70" i="4"/>
  <c r="F70" i="4"/>
  <c r="E70" i="4"/>
  <c r="D70" i="4"/>
  <c r="C70" i="4"/>
  <c r="H69" i="4"/>
  <c r="G69" i="4"/>
  <c r="F69" i="4"/>
  <c r="E69" i="4"/>
  <c r="D69" i="4"/>
  <c r="C69" i="4"/>
  <c r="H68" i="4"/>
  <c r="G68" i="4"/>
  <c r="F68" i="4"/>
  <c r="E68" i="4"/>
  <c r="D68" i="4"/>
  <c r="C68" i="4"/>
  <c r="H67" i="4"/>
  <c r="G67" i="4"/>
  <c r="F67" i="4"/>
  <c r="E67" i="4"/>
  <c r="D67" i="4"/>
  <c r="C67" i="4"/>
  <c r="E66" i="4"/>
  <c r="D66" i="4"/>
  <c r="C66" i="4"/>
  <c r="E65" i="4"/>
  <c r="D65" i="4"/>
  <c r="C65" i="4"/>
  <c r="E64" i="4"/>
  <c r="D64" i="4"/>
  <c r="C64" i="4"/>
  <c r="E63" i="4"/>
  <c r="D63" i="4"/>
  <c r="C63" i="4"/>
  <c r="E62" i="4"/>
  <c r="D62" i="4"/>
  <c r="C62" i="4"/>
  <c r="E61" i="4"/>
  <c r="D61" i="4"/>
  <c r="C61" i="4"/>
  <c r="H55" i="4"/>
  <c r="G55" i="4"/>
  <c r="F55" i="4"/>
  <c r="E55" i="4"/>
  <c r="D55" i="4"/>
  <c r="C55" i="4"/>
  <c r="H54" i="4"/>
  <c r="G54" i="4"/>
  <c r="F54" i="4"/>
  <c r="E54" i="4"/>
  <c r="D54" i="4"/>
  <c r="C54" i="4"/>
  <c r="H53" i="4"/>
  <c r="G53" i="4"/>
  <c r="F53" i="4"/>
  <c r="E53" i="4"/>
  <c r="D53" i="4"/>
  <c r="C53" i="4"/>
  <c r="H52" i="4"/>
  <c r="G52" i="4"/>
  <c r="F52" i="4"/>
  <c r="E52" i="4"/>
  <c r="D52" i="4"/>
  <c r="C52" i="4"/>
  <c r="H51" i="4"/>
  <c r="G51" i="4"/>
  <c r="F51" i="4"/>
  <c r="E51" i="4"/>
  <c r="D51" i="4"/>
  <c r="C51" i="4"/>
  <c r="E50" i="4"/>
  <c r="D50" i="4"/>
  <c r="C50" i="4"/>
  <c r="E49" i="4"/>
  <c r="D49" i="4"/>
  <c r="C49" i="4"/>
  <c r="E48" i="4"/>
  <c r="D48" i="4"/>
  <c r="C48" i="4"/>
  <c r="E47" i="4"/>
  <c r="D47" i="4"/>
  <c r="C47" i="4"/>
  <c r="E46" i="4"/>
  <c r="D46" i="4"/>
  <c r="C46" i="4"/>
  <c r="H41" i="4"/>
  <c r="G41" i="4"/>
  <c r="F41" i="4"/>
  <c r="E41" i="4"/>
  <c r="D41" i="4"/>
  <c r="C41" i="4"/>
  <c r="H40" i="4"/>
  <c r="G40" i="4"/>
  <c r="F40" i="4"/>
  <c r="E40" i="4"/>
  <c r="D40" i="4"/>
  <c r="C40" i="4"/>
  <c r="H39" i="4"/>
  <c r="G39" i="4"/>
  <c r="F39" i="4"/>
  <c r="E39" i="4"/>
  <c r="D39" i="4"/>
  <c r="C39" i="4"/>
  <c r="H38" i="4"/>
  <c r="G38" i="4"/>
  <c r="F38" i="4"/>
  <c r="E38" i="4"/>
  <c r="D38" i="4"/>
  <c r="C38" i="4"/>
  <c r="H37" i="4"/>
  <c r="G37" i="4"/>
  <c r="F37" i="4"/>
  <c r="E37" i="4"/>
  <c r="D37" i="4"/>
  <c r="C37" i="4"/>
  <c r="H36" i="4"/>
  <c r="G36" i="4"/>
  <c r="F36" i="4"/>
  <c r="E36" i="4"/>
  <c r="D36" i="4"/>
  <c r="C36" i="4"/>
  <c r="E35" i="4"/>
  <c r="D35" i="4"/>
  <c r="C35" i="4"/>
  <c r="E34" i="4"/>
  <c r="D34" i="4"/>
  <c r="C34" i="4"/>
  <c r="E33" i="4"/>
  <c r="D33" i="4"/>
  <c r="C33" i="4"/>
  <c r="E32" i="4"/>
  <c r="D32" i="4"/>
  <c r="C32" i="4"/>
  <c r="E84" i="3"/>
  <c r="D84" i="3"/>
  <c r="C84" i="3"/>
  <c r="E83" i="3"/>
  <c r="D83" i="3"/>
  <c r="C83" i="3"/>
  <c r="E82" i="3"/>
  <c r="D82" i="3"/>
  <c r="C82" i="3"/>
  <c r="E81" i="3"/>
  <c r="D81" i="3"/>
  <c r="C81" i="3"/>
  <c r="E80" i="3"/>
  <c r="D80" i="3"/>
  <c r="C80" i="3"/>
  <c r="E79" i="3"/>
  <c r="D79" i="3"/>
  <c r="C79" i="3"/>
  <c r="E78" i="3"/>
  <c r="D78" i="3"/>
  <c r="C78" i="3"/>
  <c r="E77" i="3"/>
  <c r="D77" i="3"/>
  <c r="C77" i="3"/>
  <c r="E76" i="3"/>
  <c r="D76" i="3"/>
  <c r="C76" i="3"/>
  <c r="E69" i="3"/>
  <c r="D69" i="3"/>
  <c r="C69" i="3"/>
  <c r="E68" i="3"/>
  <c r="D68" i="3"/>
  <c r="C68" i="3"/>
  <c r="E67" i="3"/>
  <c r="D67" i="3"/>
  <c r="C67" i="3"/>
  <c r="E66" i="3"/>
  <c r="D66" i="3"/>
  <c r="C66" i="3"/>
  <c r="E65" i="3"/>
  <c r="D65" i="3"/>
  <c r="E64" i="3"/>
  <c r="D64" i="3"/>
  <c r="C64" i="3"/>
  <c r="E63" i="3"/>
  <c r="D63" i="3"/>
  <c r="C63" i="3"/>
  <c r="E62" i="3"/>
  <c r="D62" i="3"/>
  <c r="C62" i="3"/>
  <c r="E61" i="3"/>
  <c r="D61" i="3"/>
  <c r="C61" i="3"/>
  <c r="E54" i="3"/>
  <c r="E53" i="3"/>
  <c r="E52" i="3"/>
  <c r="E51" i="3"/>
  <c r="E50" i="3"/>
  <c r="E49" i="3"/>
  <c r="E48" i="3"/>
  <c r="E47" i="3"/>
  <c r="E46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B2" i="8" l="1"/>
  <c r="C2" i="8" l="1"/>
  <c r="C26" i="3" l="1"/>
  <c r="C25" i="3"/>
  <c r="C24" i="3"/>
  <c r="C23" i="3"/>
  <c r="C22" i="3"/>
  <c r="C21" i="3"/>
  <c r="C20" i="3"/>
  <c r="C19" i="3"/>
  <c r="C18" i="3"/>
  <c r="C57" i="3"/>
  <c r="C58" i="3"/>
  <c r="C59" i="3"/>
  <c r="I85" i="3" l="1"/>
  <c r="H85" i="3"/>
  <c r="G85" i="3"/>
  <c r="F85" i="3"/>
  <c r="E85" i="3"/>
  <c r="D85" i="3"/>
  <c r="C85" i="3"/>
  <c r="A85" i="3"/>
  <c r="I75" i="3"/>
  <c r="H75" i="3"/>
  <c r="F75" i="3"/>
  <c r="F76" i="3" s="1"/>
  <c r="F77" i="3" s="1"/>
  <c r="F78" i="3" s="1"/>
  <c r="F79" i="3" s="1"/>
  <c r="F80" i="3" s="1"/>
  <c r="F81" i="3" s="1"/>
  <c r="F82" i="3" s="1"/>
  <c r="F83" i="3" s="1"/>
  <c r="F84" i="3" s="1"/>
  <c r="E75" i="3"/>
  <c r="D75" i="3"/>
  <c r="C75" i="3"/>
  <c r="A75" i="3"/>
  <c r="A76" i="3" s="1"/>
  <c r="A77" i="3" s="1"/>
  <c r="I74" i="3"/>
  <c r="F74" i="3"/>
  <c r="E74" i="3"/>
  <c r="D74" i="3"/>
  <c r="C74" i="3"/>
  <c r="H73" i="3"/>
  <c r="E73" i="3"/>
  <c r="D73" i="3"/>
  <c r="C73" i="3"/>
  <c r="E70" i="3"/>
  <c r="D70" i="3"/>
  <c r="C70" i="3"/>
  <c r="E60" i="3"/>
  <c r="D60" i="3"/>
  <c r="A60" i="3"/>
  <c r="A61" i="3" s="1"/>
  <c r="I59" i="3"/>
  <c r="F60" i="3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E59" i="3"/>
  <c r="D59" i="3"/>
  <c r="H58" i="3"/>
  <c r="E58" i="3"/>
  <c r="D58" i="3"/>
  <c r="H57" i="3"/>
  <c r="I57" i="3" s="1"/>
  <c r="H56" i="3"/>
  <c r="I56" i="3" s="1"/>
  <c r="E45" i="3"/>
  <c r="D45" i="3"/>
  <c r="C45" i="3"/>
  <c r="A45" i="3"/>
  <c r="A46" i="3" s="1"/>
  <c r="J44" i="3"/>
  <c r="I44" i="3"/>
  <c r="F44" i="3"/>
  <c r="F45" i="3" s="1"/>
  <c r="E44" i="3"/>
  <c r="D44" i="3"/>
  <c r="C44" i="3"/>
  <c r="J43" i="3"/>
  <c r="C43" i="3"/>
  <c r="H42" i="3"/>
  <c r="I42" i="3" s="1"/>
  <c r="E42" i="3"/>
  <c r="D42" i="3"/>
  <c r="C42" i="3"/>
  <c r="E41" i="3"/>
  <c r="D41" i="3"/>
  <c r="C41" i="3"/>
  <c r="H31" i="3"/>
  <c r="F31" i="3"/>
  <c r="E31" i="3"/>
  <c r="D31" i="3"/>
  <c r="C31" i="3"/>
  <c r="A31" i="3"/>
  <c r="I31" i="3" s="1"/>
  <c r="J30" i="3"/>
  <c r="I30" i="3"/>
  <c r="F30" i="3"/>
  <c r="E30" i="3"/>
  <c r="D30" i="3"/>
  <c r="C30" i="3"/>
  <c r="J29" i="3"/>
  <c r="C29" i="3"/>
  <c r="H28" i="3"/>
  <c r="I28" i="3" s="1"/>
  <c r="E28" i="3"/>
  <c r="D28" i="3"/>
  <c r="C28" i="3"/>
  <c r="E27" i="3"/>
  <c r="D27" i="3"/>
  <c r="C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C17" i="3"/>
  <c r="A17" i="3"/>
  <c r="J16" i="3"/>
  <c r="I16" i="3"/>
  <c r="F16" i="3"/>
  <c r="F17" i="3" s="1"/>
  <c r="E16" i="3"/>
  <c r="D16" i="3"/>
  <c r="C16" i="3"/>
  <c r="J15" i="3"/>
  <c r="C15" i="3"/>
  <c r="H14" i="3"/>
  <c r="E13" i="3"/>
  <c r="D13" i="3"/>
  <c r="C13" i="3"/>
  <c r="E12" i="3"/>
  <c r="D12" i="3"/>
  <c r="C12" i="3"/>
  <c r="E11" i="3"/>
  <c r="D11" i="3"/>
  <c r="C11" i="3"/>
  <c r="I2" i="3"/>
  <c r="AP1" i="3"/>
  <c r="A78" i="3" l="1"/>
  <c r="N12" i="3"/>
  <c r="O12" i="3"/>
  <c r="F46" i="3"/>
  <c r="F47" i="3" s="1"/>
  <c r="F48" i="3" s="1"/>
  <c r="F49" i="3" s="1"/>
  <c r="F50" i="3" s="1"/>
  <c r="F51" i="3" s="1"/>
  <c r="F52" i="3" s="1"/>
  <c r="F53" i="3" s="1"/>
  <c r="F54" i="3" s="1"/>
  <c r="M44" i="3"/>
  <c r="M3" i="3"/>
  <c r="N3" i="3" s="1"/>
  <c r="M16" i="3"/>
  <c r="F11" i="3"/>
  <c r="F12" i="3" s="1"/>
  <c r="F13" i="3" s="1"/>
  <c r="N11" i="3"/>
  <c r="O10" i="3"/>
  <c r="O11" i="3"/>
  <c r="N9" i="3"/>
  <c r="O9" i="3"/>
  <c r="N10" i="3"/>
  <c r="N4" i="3"/>
  <c r="N5" i="3"/>
  <c r="F32" i="3"/>
  <c r="F33" i="3" s="1"/>
  <c r="F34" i="3" s="1"/>
  <c r="F35" i="3" s="1"/>
  <c r="F36" i="3" s="1"/>
  <c r="F37" i="3" s="1"/>
  <c r="F38" i="3" s="1"/>
  <c r="F39" i="3" s="1"/>
  <c r="F40" i="3" s="1"/>
  <c r="I17" i="3"/>
  <c r="A18" i="3"/>
  <c r="A19" i="3" s="1"/>
  <c r="N8" i="3"/>
  <c r="O8" i="3"/>
  <c r="AJ3" i="3" s="1"/>
  <c r="A62" i="3"/>
  <c r="O7" i="3"/>
  <c r="N7" i="3"/>
  <c r="O6" i="3"/>
  <c r="N6" i="3"/>
  <c r="O5" i="3"/>
  <c r="O4" i="3"/>
  <c r="M2" i="3"/>
  <c r="F41" i="3"/>
  <c r="F18" i="3"/>
  <c r="F19" i="3" s="1"/>
  <c r="F20" i="3" s="1"/>
  <c r="F21" i="3" s="1"/>
  <c r="F22" i="3" s="1"/>
  <c r="F23" i="3" s="1"/>
  <c r="F24" i="3" s="1"/>
  <c r="F25" i="3" s="1"/>
  <c r="F26" i="3" s="1"/>
  <c r="F27" i="3" s="1"/>
  <c r="A32" i="3"/>
  <c r="AO3" i="3"/>
  <c r="A47" i="3"/>
  <c r="Y8" i="3" a="1"/>
  <c r="Y8" i="3" s="1"/>
  <c r="I45" i="3"/>
  <c r="A85" i="4"/>
  <c r="I85" i="4" s="1"/>
  <c r="A84" i="4"/>
  <c r="I84" i="4" s="1"/>
  <c r="A83" i="4"/>
  <c r="I83" i="4" s="1"/>
  <c r="A82" i="4"/>
  <c r="I82" i="4" s="1"/>
  <c r="A81" i="4"/>
  <c r="I81" i="4" s="1"/>
  <c r="A80" i="4"/>
  <c r="I80" i="4" s="1"/>
  <c r="A79" i="4"/>
  <c r="I79" i="4" s="1"/>
  <c r="A78" i="4"/>
  <c r="I78" i="4" s="1"/>
  <c r="A77" i="4"/>
  <c r="I77" i="4" s="1"/>
  <c r="A76" i="4"/>
  <c r="I76" i="4" s="1"/>
  <c r="I75" i="4"/>
  <c r="H75" i="4"/>
  <c r="F75" i="4"/>
  <c r="E75" i="4"/>
  <c r="D75" i="4"/>
  <c r="C75" i="4"/>
  <c r="A75" i="4"/>
  <c r="I74" i="4"/>
  <c r="F74" i="4"/>
  <c r="E74" i="4"/>
  <c r="D74" i="4"/>
  <c r="C74" i="4"/>
  <c r="I73" i="4"/>
  <c r="H73" i="4"/>
  <c r="E73" i="4"/>
  <c r="D73" i="4"/>
  <c r="C73" i="4"/>
  <c r="A70" i="4"/>
  <c r="I70" i="4" s="1"/>
  <c r="E60" i="4"/>
  <c r="D60" i="4"/>
  <c r="A60" i="4"/>
  <c r="A61" i="4" s="1"/>
  <c r="I59" i="4"/>
  <c r="F59" i="4"/>
  <c r="E59" i="4"/>
  <c r="D59" i="4"/>
  <c r="I58" i="4"/>
  <c r="H58" i="4"/>
  <c r="E58" i="4"/>
  <c r="D58" i="4"/>
  <c r="C58" i="4"/>
  <c r="H57" i="4"/>
  <c r="I57" i="4" s="1"/>
  <c r="C57" i="4"/>
  <c r="H56" i="4"/>
  <c r="I56" i="4" s="1"/>
  <c r="C56" i="4"/>
  <c r="E45" i="4"/>
  <c r="D45" i="4"/>
  <c r="A45" i="4"/>
  <c r="A46" i="4" s="1"/>
  <c r="J44" i="4"/>
  <c r="I44" i="4"/>
  <c r="F44" i="4"/>
  <c r="F45" i="4" s="1"/>
  <c r="F46" i="4" s="1"/>
  <c r="F47" i="4" s="1"/>
  <c r="F48" i="4" s="1"/>
  <c r="F49" i="4" s="1"/>
  <c r="F50" i="4" s="1"/>
  <c r="E44" i="4"/>
  <c r="D44" i="4"/>
  <c r="J43" i="4"/>
  <c r="I43" i="4"/>
  <c r="C43" i="4"/>
  <c r="H42" i="4"/>
  <c r="I42" i="4" s="1"/>
  <c r="E42" i="4"/>
  <c r="D42" i="4"/>
  <c r="C42" i="4"/>
  <c r="H31" i="4"/>
  <c r="F31" i="4"/>
  <c r="E31" i="4"/>
  <c r="D31" i="4"/>
  <c r="C31" i="4"/>
  <c r="A31" i="4"/>
  <c r="I31" i="4" s="1"/>
  <c r="J30" i="4"/>
  <c r="I30" i="4"/>
  <c r="F30" i="4"/>
  <c r="E30" i="4"/>
  <c r="D30" i="4"/>
  <c r="C30" i="4"/>
  <c r="J29" i="4"/>
  <c r="C29" i="4"/>
  <c r="H28" i="4"/>
  <c r="I28" i="4" s="1"/>
  <c r="E28" i="4"/>
  <c r="D28" i="4"/>
  <c r="C28" i="4"/>
  <c r="E27" i="4"/>
  <c r="D27" i="4"/>
  <c r="C27" i="4"/>
  <c r="E26" i="4"/>
  <c r="D26" i="4"/>
  <c r="C26" i="4"/>
  <c r="E25" i="4"/>
  <c r="D25" i="4"/>
  <c r="C25" i="4"/>
  <c r="E24" i="4"/>
  <c r="D24" i="4"/>
  <c r="C24" i="4"/>
  <c r="E23" i="4"/>
  <c r="D23" i="4"/>
  <c r="C23" i="4"/>
  <c r="E22" i="4"/>
  <c r="D22" i="4"/>
  <c r="C22" i="4"/>
  <c r="E21" i="4"/>
  <c r="D21" i="4"/>
  <c r="C21" i="4"/>
  <c r="E20" i="4"/>
  <c r="D20" i="4"/>
  <c r="C20" i="4"/>
  <c r="E19" i="4"/>
  <c r="D19" i="4"/>
  <c r="C19" i="4"/>
  <c r="E18" i="4"/>
  <c r="D18" i="4"/>
  <c r="C18" i="4"/>
  <c r="E17" i="4"/>
  <c r="D17" i="4"/>
  <c r="C17" i="4"/>
  <c r="A17" i="4"/>
  <c r="A18" i="4" s="1"/>
  <c r="J16" i="4"/>
  <c r="I16" i="4"/>
  <c r="F16" i="4"/>
  <c r="F17" i="4" s="1"/>
  <c r="E16" i="4"/>
  <c r="D16" i="4"/>
  <c r="C16" i="4"/>
  <c r="J15" i="4"/>
  <c r="C15" i="4"/>
  <c r="H14" i="4"/>
  <c r="I14" i="4" s="1"/>
  <c r="E13" i="4"/>
  <c r="D13" i="4"/>
  <c r="C13" i="4"/>
  <c r="F12" i="4"/>
  <c r="F13" i="4" s="1"/>
  <c r="E12" i="4"/>
  <c r="D12" i="4"/>
  <c r="C12" i="4"/>
  <c r="I11" i="4"/>
  <c r="H11" i="4"/>
  <c r="F11" i="4"/>
  <c r="E11" i="4"/>
  <c r="D11" i="4"/>
  <c r="C11" i="4"/>
  <c r="I10" i="4"/>
  <c r="H10" i="4"/>
  <c r="F10" i="4"/>
  <c r="E10" i="4"/>
  <c r="D10" i="4"/>
  <c r="C10" i="4"/>
  <c r="F9" i="4"/>
  <c r="E9" i="4"/>
  <c r="D9" i="4"/>
  <c r="C9" i="4"/>
  <c r="I8" i="4"/>
  <c r="H8" i="4"/>
  <c r="F8" i="4"/>
  <c r="E8" i="4"/>
  <c r="D8" i="4"/>
  <c r="C8" i="4"/>
  <c r="F7" i="4"/>
  <c r="E7" i="4"/>
  <c r="D7" i="4"/>
  <c r="C7" i="4"/>
  <c r="F6" i="4"/>
  <c r="E6" i="4"/>
  <c r="D6" i="4"/>
  <c r="C6" i="4"/>
  <c r="F5" i="4"/>
  <c r="E5" i="4"/>
  <c r="D5" i="4"/>
  <c r="C5" i="4"/>
  <c r="I4" i="4"/>
  <c r="I3" i="4"/>
  <c r="I2" i="4"/>
  <c r="AP1" i="4"/>
  <c r="H78" i="3" l="1"/>
  <c r="I78" i="3" s="1"/>
  <c r="H84" i="3"/>
  <c r="H77" i="3"/>
  <c r="I77" i="3" s="1"/>
  <c r="H81" i="3"/>
  <c r="H82" i="3"/>
  <c r="H76" i="3"/>
  <c r="I76" i="3" s="1"/>
  <c r="H80" i="3"/>
  <c r="H83" i="3"/>
  <c r="H79" i="3"/>
  <c r="A79" i="3"/>
  <c r="I41" i="3"/>
  <c r="M26" i="3"/>
  <c r="N26" i="3" s="1"/>
  <c r="O3" i="3"/>
  <c r="AE3" i="3" s="1"/>
  <c r="AE4" i="3" s="1" a="1"/>
  <c r="AE4" i="3" s="1"/>
  <c r="Q3" i="3" s="1"/>
  <c r="H69" i="3"/>
  <c r="H66" i="3"/>
  <c r="H68" i="3"/>
  <c r="H67" i="3"/>
  <c r="H8" i="3"/>
  <c r="I8" i="3" s="1"/>
  <c r="H7" i="3"/>
  <c r="I7" i="3" s="1"/>
  <c r="H13" i="3"/>
  <c r="I13" i="3" s="1"/>
  <c r="H10" i="3"/>
  <c r="I10" i="3" s="1"/>
  <c r="H9" i="3"/>
  <c r="I9" i="3" s="1"/>
  <c r="H6" i="3"/>
  <c r="I6" i="3" s="1"/>
  <c r="H4" i="3"/>
  <c r="I4" i="3" s="1"/>
  <c r="H5" i="3"/>
  <c r="I5" i="3" s="1"/>
  <c r="H3" i="3"/>
  <c r="I3" i="3" s="1"/>
  <c r="F60" i="4"/>
  <c r="M16" i="4"/>
  <c r="N9" i="4"/>
  <c r="O9" i="4"/>
  <c r="M20" i="3"/>
  <c r="N20" i="3" s="1"/>
  <c r="F61" i="4"/>
  <c r="F62" i="4" s="1"/>
  <c r="F63" i="4" s="1"/>
  <c r="F64" i="4" s="1"/>
  <c r="F65" i="4" s="1"/>
  <c r="F66" i="4" s="1"/>
  <c r="H23" i="3"/>
  <c r="I23" i="3" s="1"/>
  <c r="H24" i="3"/>
  <c r="I24" i="3" s="1"/>
  <c r="H25" i="3"/>
  <c r="I25" i="3" s="1"/>
  <c r="H11" i="3"/>
  <c r="I11" i="3" s="1"/>
  <c r="T3" i="3"/>
  <c r="T4" i="3" s="1" a="1"/>
  <c r="T4" i="3" s="1"/>
  <c r="P3" i="3" s="1"/>
  <c r="H64" i="3"/>
  <c r="H63" i="3"/>
  <c r="H65" i="3"/>
  <c r="H62" i="3"/>
  <c r="F32" i="4"/>
  <c r="F33" i="4" s="1"/>
  <c r="F34" i="4" s="1"/>
  <c r="F35" i="4" s="1"/>
  <c r="M24" i="3"/>
  <c r="N24" i="3" s="1"/>
  <c r="M23" i="3"/>
  <c r="N23" i="3" s="1"/>
  <c r="M25" i="3"/>
  <c r="N25" i="3" s="1"/>
  <c r="A2" i="8"/>
  <c r="I3" i="8" s="1"/>
  <c r="H12" i="3"/>
  <c r="I12" i="3" s="1"/>
  <c r="M21" i="3"/>
  <c r="N21" i="3" s="1"/>
  <c r="M22" i="3"/>
  <c r="N22" i="3" s="1"/>
  <c r="M19" i="3"/>
  <c r="N19" i="3" s="1"/>
  <c r="M18" i="3"/>
  <c r="N18" i="3" s="1"/>
  <c r="H33" i="3"/>
  <c r="I33" i="3" s="1"/>
  <c r="H36" i="3"/>
  <c r="I36" i="3" s="1"/>
  <c r="H34" i="3"/>
  <c r="I34" i="3" s="1"/>
  <c r="H35" i="3"/>
  <c r="I35" i="3" s="1"/>
  <c r="H32" i="3"/>
  <c r="I32" i="3" s="1"/>
  <c r="A33" i="3"/>
  <c r="X3" i="3"/>
  <c r="A63" i="3"/>
  <c r="A62" i="4"/>
  <c r="O8" i="4"/>
  <c r="N8" i="4"/>
  <c r="O7" i="4"/>
  <c r="O4" i="4"/>
  <c r="N7" i="4"/>
  <c r="N4" i="4"/>
  <c r="H13" i="4" s="1"/>
  <c r="I13" i="4" s="1"/>
  <c r="O6" i="4"/>
  <c r="N6" i="4"/>
  <c r="O5" i="4"/>
  <c r="N5" i="4"/>
  <c r="H12" i="4" s="1"/>
  <c r="I12" i="4" s="1"/>
  <c r="A2" i="5"/>
  <c r="K2" i="5"/>
  <c r="I2" i="5"/>
  <c r="C2" i="5"/>
  <c r="M31" i="3"/>
  <c r="A32" i="4"/>
  <c r="F18" i="4"/>
  <c r="F19" i="4" s="1"/>
  <c r="F20" i="4" s="1"/>
  <c r="F21" i="4" s="1"/>
  <c r="F22" i="4" s="1"/>
  <c r="F23" i="4" s="1"/>
  <c r="F24" i="4" s="1"/>
  <c r="F25" i="4" s="1"/>
  <c r="F26" i="4" s="1"/>
  <c r="F27" i="4" s="1"/>
  <c r="V3" i="3"/>
  <c r="AA3" i="3"/>
  <c r="Y9" i="3" a="1"/>
  <c r="Y9" i="3" s="1"/>
  <c r="W3" i="3"/>
  <c r="AI3" i="3"/>
  <c r="AH3" i="3"/>
  <c r="AK3" i="3"/>
  <c r="AF3" i="3"/>
  <c r="AF4" i="3" s="1" a="1"/>
  <c r="AF4" i="3" s="1"/>
  <c r="Q4" i="3" s="1"/>
  <c r="H41" i="3"/>
  <c r="AL3" i="3"/>
  <c r="Z3" i="3"/>
  <c r="U3" i="3"/>
  <c r="U4" i="3" s="1" a="1"/>
  <c r="U4" i="3" s="1"/>
  <c r="P4" i="3" s="1"/>
  <c r="Y7" i="3" a="1"/>
  <c r="Y7" i="3" s="1"/>
  <c r="Y3" i="3"/>
  <c r="AJ2" i="3" a="1"/>
  <c r="AJ2" i="3" s="1"/>
  <c r="AD3" i="3"/>
  <c r="AJ7" i="3" a="1"/>
  <c r="AJ7" i="3" s="1"/>
  <c r="AM3" i="3"/>
  <c r="AN3" i="3"/>
  <c r="AG3" i="3"/>
  <c r="AG4" i="3" s="1" a="1"/>
  <c r="AG4" i="3" s="1"/>
  <c r="Q5" i="3" s="1"/>
  <c r="AB3" i="3"/>
  <c r="A48" i="3"/>
  <c r="AC3" i="3"/>
  <c r="A47" i="4"/>
  <c r="A19" i="4"/>
  <c r="AJ2" i="4" a="1"/>
  <c r="AJ2" i="4" s="1"/>
  <c r="I45" i="4"/>
  <c r="G76" i="3" l="1"/>
  <c r="I79" i="3"/>
  <c r="A80" i="3"/>
  <c r="N46" i="3"/>
  <c r="M46" i="3" s="1"/>
  <c r="M17" i="3"/>
  <c r="M45" i="3"/>
  <c r="N45" i="3"/>
  <c r="I27" i="3"/>
  <c r="H70" i="3"/>
  <c r="G70" i="3"/>
  <c r="AP20" i="3"/>
  <c r="R4" i="3"/>
  <c r="R3" i="3"/>
  <c r="AP17" i="3"/>
  <c r="AP18" i="3"/>
  <c r="AP19" i="3"/>
  <c r="H17" i="3"/>
  <c r="G27" i="3"/>
  <c r="V4" i="3" a="1"/>
  <c r="V4" i="3" s="1"/>
  <c r="P5" i="3" s="1"/>
  <c r="G77" i="3" s="1"/>
  <c r="H27" i="3"/>
  <c r="AP3" i="3"/>
  <c r="M23" i="4"/>
  <c r="N23" i="4" s="1"/>
  <c r="H9" i="4"/>
  <c r="I9" i="4" s="1"/>
  <c r="M2" i="4"/>
  <c r="H63" i="4" s="1"/>
  <c r="I63" i="4" s="1"/>
  <c r="H40" i="3"/>
  <c r="H26" i="3"/>
  <c r="H6" i="4"/>
  <c r="I6" i="4" s="1"/>
  <c r="H37" i="3"/>
  <c r="I37" i="3" s="1"/>
  <c r="H61" i="3"/>
  <c r="G61" i="3"/>
  <c r="H48" i="4"/>
  <c r="I48" i="4" s="1"/>
  <c r="H50" i="4"/>
  <c r="I50" i="4" s="1"/>
  <c r="M21" i="4"/>
  <c r="N21" i="4" s="1"/>
  <c r="H49" i="4"/>
  <c r="I49" i="4" s="1"/>
  <c r="H39" i="3"/>
  <c r="I39" i="3" s="1"/>
  <c r="H38" i="3"/>
  <c r="I38" i="3" s="1"/>
  <c r="M20" i="4"/>
  <c r="N20" i="4" s="1"/>
  <c r="M19" i="4"/>
  <c r="N19" i="4" s="1"/>
  <c r="M22" i="4"/>
  <c r="N22" i="4" s="1"/>
  <c r="G32" i="3"/>
  <c r="J32" i="3" s="1"/>
  <c r="M18" i="4"/>
  <c r="N18" i="4" s="1"/>
  <c r="H7" i="4"/>
  <c r="I7" i="4" s="1"/>
  <c r="A34" i="3"/>
  <c r="H33" i="4"/>
  <c r="I33" i="4" s="1"/>
  <c r="H34" i="4"/>
  <c r="I34" i="4" s="1"/>
  <c r="H32" i="4"/>
  <c r="I32" i="4" s="1"/>
  <c r="H35" i="4"/>
  <c r="I35" i="4" s="1"/>
  <c r="A33" i="4"/>
  <c r="H47" i="4"/>
  <c r="I47" i="4" s="1"/>
  <c r="H46" i="4"/>
  <c r="I46" i="4" s="1"/>
  <c r="H20" i="3"/>
  <c r="I20" i="3" s="1"/>
  <c r="H22" i="3"/>
  <c r="I22" i="3" s="1"/>
  <c r="H60" i="3"/>
  <c r="A64" i="3"/>
  <c r="A63" i="4"/>
  <c r="Y3" i="4"/>
  <c r="H5" i="4"/>
  <c r="M31" i="4"/>
  <c r="H18" i="3"/>
  <c r="I18" i="3" s="1"/>
  <c r="H19" i="3"/>
  <c r="I19" i="3" s="1"/>
  <c r="H21" i="3"/>
  <c r="I21" i="3" s="1"/>
  <c r="AM3" i="4"/>
  <c r="G18" i="3"/>
  <c r="AH4" i="3" a="1"/>
  <c r="AH4" i="3" s="1"/>
  <c r="Q6" i="3" s="1"/>
  <c r="A20" i="3"/>
  <c r="A49" i="3"/>
  <c r="AB3" i="4"/>
  <c r="AG3" i="4"/>
  <c r="AG4" i="4" s="1" a="1"/>
  <c r="AG4" i="4" s="1"/>
  <c r="Q5" i="4" s="1"/>
  <c r="AA3" i="4"/>
  <c r="H27" i="4"/>
  <c r="AD3" i="4"/>
  <c r="AJ7" i="4" a="1"/>
  <c r="AJ7" i="4" s="1"/>
  <c r="X3" i="4"/>
  <c r="Y8" i="4" a="1"/>
  <c r="Y8" i="4" s="1"/>
  <c r="V3" i="4"/>
  <c r="V4" i="4" s="1" a="1"/>
  <c r="V4" i="4" s="1"/>
  <c r="P5" i="4" s="1"/>
  <c r="Z3" i="4"/>
  <c r="AH3" i="4"/>
  <c r="A20" i="4"/>
  <c r="U3" i="4"/>
  <c r="U4" i="4" s="1" a="1"/>
  <c r="U4" i="4" s="1"/>
  <c r="P4" i="4" s="1"/>
  <c r="Y7" i="4" a="1"/>
  <c r="Y7" i="4" s="1"/>
  <c r="AC3" i="4"/>
  <c r="AL3" i="4"/>
  <c r="W3" i="4"/>
  <c r="Y9" i="4" a="1"/>
  <c r="Y9" i="4" s="1"/>
  <c r="AN3" i="4"/>
  <c r="AF3" i="4"/>
  <c r="AF4" i="4" s="1" a="1"/>
  <c r="AF4" i="4" s="1"/>
  <c r="Q4" i="4" s="1"/>
  <c r="AJ3" i="4"/>
  <c r="AK3" i="4"/>
  <c r="A48" i="4"/>
  <c r="AO3" i="4"/>
  <c r="AI3" i="4"/>
  <c r="H17" i="4" l="1"/>
  <c r="I17" i="4" s="1"/>
  <c r="I80" i="3"/>
  <c r="A81" i="3"/>
  <c r="H26" i="4"/>
  <c r="H24" i="4"/>
  <c r="H25" i="4"/>
  <c r="N17" i="3"/>
  <c r="H19" i="4"/>
  <c r="I19" i="4" s="1"/>
  <c r="H20" i="4"/>
  <c r="I20" i="4" s="1"/>
  <c r="H21" i="4"/>
  <c r="H18" i="4"/>
  <c r="I18" i="4" s="1"/>
  <c r="H23" i="4"/>
  <c r="H22" i="4"/>
  <c r="R5" i="3"/>
  <c r="N47" i="3"/>
  <c r="M47" i="3" s="1"/>
  <c r="AP4" i="3"/>
  <c r="G19" i="3"/>
  <c r="G62" i="3"/>
  <c r="G33" i="3"/>
  <c r="J33" i="3" s="1"/>
  <c r="H65" i="4"/>
  <c r="I65" i="4" s="1"/>
  <c r="H64" i="4"/>
  <c r="I64" i="4" s="1"/>
  <c r="H61" i="4"/>
  <c r="I61" i="4" s="1"/>
  <c r="H62" i="4"/>
  <c r="I62" i="4" s="1"/>
  <c r="H60" i="4"/>
  <c r="I60" i="4" s="1"/>
  <c r="G61" i="4"/>
  <c r="H66" i="4"/>
  <c r="I61" i="3"/>
  <c r="A65" i="3"/>
  <c r="A66" i="3" s="1"/>
  <c r="A67" i="3" s="1"/>
  <c r="A68" i="3" s="1"/>
  <c r="A69" i="3" s="1"/>
  <c r="A70" i="3" s="1"/>
  <c r="G47" i="4"/>
  <c r="W4" i="4" a="1"/>
  <c r="W4" i="4" s="1"/>
  <c r="P6" i="4" s="1"/>
  <c r="G62" i="4" s="1"/>
  <c r="AH4" i="4" a="1"/>
  <c r="AH4" i="4" s="1"/>
  <c r="Q6" i="4" s="1"/>
  <c r="A35" i="3"/>
  <c r="G46" i="4"/>
  <c r="G32" i="4"/>
  <c r="A34" i="4"/>
  <c r="G33" i="4"/>
  <c r="H45" i="4"/>
  <c r="J19" i="3"/>
  <c r="J18" i="3"/>
  <c r="A64" i="4"/>
  <c r="G19" i="4"/>
  <c r="J20" i="3"/>
  <c r="A21" i="3"/>
  <c r="W4" i="3" s="1" a="1"/>
  <c r="W4" i="3" s="1"/>
  <c r="P6" i="3" s="1"/>
  <c r="G78" i="3" s="1"/>
  <c r="A50" i="3"/>
  <c r="AP4" i="4"/>
  <c r="J33" i="4"/>
  <c r="AP3" i="4"/>
  <c r="G18" i="4"/>
  <c r="J32" i="4"/>
  <c r="A36" i="4"/>
  <c r="A49" i="4"/>
  <c r="A21" i="4"/>
  <c r="I81" i="3" l="1"/>
  <c r="A82" i="3"/>
  <c r="I21" i="4"/>
  <c r="R6" i="3"/>
  <c r="N48" i="3"/>
  <c r="M48" i="3" s="1"/>
  <c r="AP5" i="3"/>
  <c r="G20" i="3"/>
  <c r="G63" i="3"/>
  <c r="G34" i="3"/>
  <c r="J34" i="3" s="1"/>
  <c r="I62" i="3"/>
  <c r="I63" i="3" s="1"/>
  <c r="I64" i="3" s="1"/>
  <c r="G48" i="4"/>
  <c r="J48" i="4" s="1"/>
  <c r="AP5" i="4"/>
  <c r="A36" i="3"/>
  <c r="A37" i="3" s="1"/>
  <c r="G34" i="4"/>
  <c r="A35" i="4"/>
  <c r="X4" i="4" s="1" a="1"/>
  <c r="X4" i="4" s="1"/>
  <c r="P7" i="4" s="1"/>
  <c r="J46" i="4"/>
  <c r="J47" i="4"/>
  <c r="A65" i="4"/>
  <c r="J34" i="4"/>
  <c r="G20" i="4"/>
  <c r="J20" i="4" s="1"/>
  <c r="J18" i="4"/>
  <c r="J19" i="4"/>
  <c r="A22" i="3"/>
  <c r="J21" i="3"/>
  <c r="AI4" i="3" a="1"/>
  <c r="AI4" i="3" s="1"/>
  <c r="A51" i="3"/>
  <c r="A37" i="4"/>
  <c r="I37" i="4" s="1"/>
  <c r="Y4" i="4" a="1"/>
  <c r="Y4" i="4" s="1"/>
  <c r="P8" i="4" s="1"/>
  <c r="A22" i="4"/>
  <c r="I22" i="4" s="1"/>
  <c r="A50" i="4"/>
  <c r="I82" i="3" l="1"/>
  <c r="A83" i="3"/>
  <c r="A23" i="3"/>
  <c r="X4" i="3" a="1"/>
  <c r="X4" i="3" s="1"/>
  <c r="P7" i="3" s="1"/>
  <c r="G79" i="3" s="1"/>
  <c r="I65" i="3"/>
  <c r="I66" i="3" s="1"/>
  <c r="A38" i="3"/>
  <c r="A39" i="3" s="1"/>
  <c r="AI4" i="4" a="1"/>
  <c r="AI4" i="4" s="1"/>
  <c r="Q7" i="4" s="1"/>
  <c r="G49" i="4" s="1"/>
  <c r="J49" i="4" s="1"/>
  <c r="A66" i="4"/>
  <c r="I66" i="4" s="1"/>
  <c r="Q7" i="3"/>
  <c r="G64" i="3" s="1"/>
  <c r="J35" i="4"/>
  <c r="J22" i="3"/>
  <c r="AJ4" i="3" a="1"/>
  <c r="AJ4" i="3" s="1"/>
  <c r="Q8" i="3" s="1"/>
  <c r="A52" i="3"/>
  <c r="A51" i="4"/>
  <c r="I51" i="4" s="1"/>
  <c r="J50" i="4"/>
  <c r="A23" i="4"/>
  <c r="AJ4" i="4" a="1"/>
  <c r="AJ4" i="4" s="1"/>
  <c r="Q8" i="4" s="1"/>
  <c r="A38" i="4"/>
  <c r="I38" i="4" s="1"/>
  <c r="I83" i="3" l="1"/>
  <c r="A84" i="3"/>
  <c r="R7" i="3"/>
  <c r="N49" i="3"/>
  <c r="M49" i="3" s="1"/>
  <c r="Y4" i="3" a="1"/>
  <c r="Y4" i="3" s="1"/>
  <c r="P8" i="3" s="1"/>
  <c r="G80" i="3" s="1"/>
  <c r="AK4" i="3" a="1"/>
  <c r="AK4" i="3" s="1"/>
  <c r="Q9" i="3" s="1"/>
  <c r="J23" i="3"/>
  <c r="A24" i="3"/>
  <c r="Z4" i="3" s="1" a="1"/>
  <c r="Z4" i="3" s="1"/>
  <c r="P9" i="3" s="1"/>
  <c r="G63" i="4"/>
  <c r="G64" i="4"/>
  <c r="I67" i="3"/>
  <c r="I68" i="3" s="1"/>
  <c r="I69" i="3" s="1"/>
  <c r="I70" i="3" s="1"/>
  <c r="G65" i="3"/>
  <c r="AP6" i="3"/>
  <c r="G35" i="3"/>
  <c r="J35" i="3" s="1"/>
  <c r="G35" i="4"/>
  <c r="AP6" i="4"/>
  <c r="G21" i="3"/>
  <c r="A67" i="4"/>
  <c r="I67" i="4" s="1"/>
  <c r="G50" i="4"/>
  <c r="G21" i="4"/>
  <c r="J21" i="4" s="1"/>
  <c r="J38" i="3"/>
  <c r="A53" i="3"/>
  <c r="AL4" i="3" a="1"/>
  <c r="AL4" i="3" s="1"/>
  <c r="Q10" i="3" s="1"/>
  <c r="A40" i="3"/>
  <c r="I40" i="3" s="1"/>
  <c r="J39" i="3"/>
  <c r="A39" i="4"/>
  <c r="I39" i="4" s="1"/>
  <c r="A24" i="4"/>
  <c r="Z4" i="4" a="1"/>
  <c r="Z4" i="4" s="1"/>
  <c r="P9" i="4" s="1"/>
  <c r="AK4" i="4" a="1"/>
  <c r="AK4" i="4" s="1"/>
  <c r="Q9" i="4" s="1"/>
  <c r="J51" i="4"/>
  <c r="A52" i="4"/>
  <c r="I52" i="4" s="1"/>
  <c r="G81" i="3" l="1"/>
  <c r="N51" i="3"/>
  <c r="M51" i="3" s="1"/>
  <c r="N50" i="3"/>
  <c r="M50" i="3" s="1"/>
  <c r="R8" i="3"/>
  <c r="G66" i="3"/>
  <c r="A25" i="3"/>
  <c r="G36" i="3"/>
  <c r="J36" i="3" s="1"/>
  <c r="G22" i="3"/>
  <c r="AP7" i="3"/>
  <c r="G23" i="3"/>
  <c r="R9" i="3"/>
  <c r="AP8" i="3"/>
  <c r="G37" i="3"/>
  <c r="J37" i="3" s="1"/>
  <c r="J24" i="3"/>
  <c r="G66" i="4"/>
  <c r="A26" i="3"/>
  <c r="AP7" i="4"/>
  <c r="G65" i="4"/>
  <c r="A68" i="4"/>
  <c r="I68" i="4" s="1"/>
  <c r="J36" i="4"/>
  <c r="A54" i="3"/>
  <c r="J40" i="3"/>
  <c r="A41" i="3"/>
  <c r="AN4" i="3" a="1"/>
  <c r="AN4" i="3" s="1"/>
  <c r="Q12" i="3" s="1"/>
  <c r="AC4" i="3" a="1"/>
  <c r="AC4" i="3" s="1"/>
  <c r="P12" i="3" s="1"/>
  <c r="A53" i="4"/>
  <c r="I53" i="4" s="1"/>
  <c r="J52" i="4"/>
  <c r="AL4" i="4" a="1"/>
  <c r="AL4" i="4" s="1"/>
  <c r="J37" i="4"/>
  <c r="A25" i="4"/>
  <c r="AA4" i="4" a="1"/>
  <c r="AA4" i="4" s="1"/>
  <c r="A40" i="4"/>
  <c r="I40" i="4" s="1"/>
  <c r="J39" i="4"/>
  <c r="G40" i="3" l="1"/>
  <c r="G84" i="3"/>
  <c r="I84" i="3" s="1"/>
  <c r="AA4" i="3" a="1"/>
  <c r="AA4" i="3" s="1"/>
  <c r="P10" i="3" s="1"/>
  <c r="AM4" i="3" a="1"/>
  <c r="AM4" i="3" s="1"/>
  <c r="Q11" i="3" s="1"/>
  <c r="R12" i="3"/>
  <c r="N54" i="3"/>
  <c r="M54" i="3" s="1"/>
  <c r="G67" i="3"/>
  <c r="G68" i="3"/>
  <c r="G38" i="3"/>
  <c r="J25" i="3"/>
  <c r="A27" i="3"/>
  <c r="J27" i="3" s="1"/>
  <c r="AB4" i="3" a="1"/>
  <c r="AB4" i="3" s="1"/>
  <c r="J26" i="3"/>
  <c r="I26" i="3"/>
  <c r="A69" i="4"/>
  <c r="I69" i="4" s="1"/>
  <c r="AP8" i="4"/>
  <c r="G22" i="4"/>
  <c r="G23" i="4"/>
  <c r="AP9" i="4"/>
  <c r="J41" i="3"/>
  <c r="AO4" i="3" a="1"/>
  <c r="AO4" i="3" s="1"/>
  <c r="AD4" i="3" a="1"/>
  <c r="AD4" i="3" s="1"/>
  <c r="A55" i="3"/>
  <c r="J54" i="3"/>
  <c r="J40" i="4"/>
  <c r="A41" i="4"/>
  <c r="I41" i="4" s="1"/>
  <c r="G24" i="4"/>
  <c r="J38" i="4"/>
  <c r="A26" i="4"/>
  <c r="AB4" i="4" a="1"/>
  <c r="AB4" i="4" s="1"/>
  <c r="AM4" i="4" a="1"/>
  <c r="AM4" i="4" s="1"/>
  <c r="A54" i="4"/>
  <c r="I54" i="4" s="1"/>
  <c r="J53" i="4"/>
  <c r="G24" i="3" l="1"/>
  <c r="G82" i="3"/>
  <c r="R10" i="3"/>
  <c r="AP9" i="3"/>
  <c r="N52" i="3"/>
  <c r="M52" i="3" s="1"/>
  <c r="I24" i="4"/>
  <c r="J24" i="4"/>
  <c r="P11" i="3"/>
  <c r="I23" i="4"/>
  <c r="J23" i="4"/>
  <c r="G69" i="3"/>
  <c r="G26" i="3"/>
  <c r="J22" i="4"/>
  <c r="AP10" i="4"/>
  <c r="G41" i="3"/>
  <c r="I55" i="3"/>
  <c r="J55" i="3"/>
  <c r="A27" i="4"/>
  <c r="I27" i="4" s="1"/>
  <c r="AC4" i="4" a="1"/>
  <c r="AC4" i="4" s="1"/>
  <c r="AN4" i="4" a="1"/>
  <c r="AN4" i="4" s="1"/>
  <c r="A55" i="4"/>
  <c r="I55" i="4" s="1"/>
  <c r="J54" i="4"/>
  <c r="J41" i="4"/>
  <c r="AD4" i="4" a="1"/>
  <c r="AD4" i="4" s="1"/>
  <c r="N53" i="3" l="1"/>
  <c r="M53" i="3" s="1"/>
  <c r="G50" i="3" s="1"/>
  <c r="G83" i="3"/>
  <c r="G25" i="3"/>
  <c r="H45" i="3"/>
  <c r="R11" i="3"/>
  <c r="G46" i="3"/>
  <c r="G49" i="3"/>
  <c r="G52" i="3"/>
  <c r="H53" i="3"/>
  <c r="I53" i="3" s="1"/>
  <c r="H51" i="3"/>
  <c r="I51" i="3" s="1"/>
  <c r="G53" i="3"/>
  <c r="H49" i="3"/>
  <c r="I49" i="3" s="1"/>
  <c r="G51" i="3"/>
  <c r="H48" i="3"/>
  <c r="I48" i="3" s="1"/>
  <c r="H52" i="3"/>
  <c r="I52" i="3" s="1"/>
  <c r="H46" i="3"/>
  <c r="I46" i="3" s="1"/>
  <c r="G47" i="3"/>
  <c r="G48" i="3"/>
  <c r="H47" i="3"/>
  <c r="I47" i="3" s="1"/>
  <c r="H50" i="3"/>
  <c r="I50" i="3" s="1"/>
  <c r="AP10" i="3"/>
  <c r="G39" i="3"/>
  <c r="H54" i="3"/>
  <c r="I54" i="3" s="1"/>
  <c r="G54" i="3"/>
  <c r="C13" i="8"/>
  <c r="G25" i="4"/>
  <c r="AP11" i="4"/>
  <c r="J55" i="4"/>
  <c r="G26" i="4"/>
  <c r="J27" i="4"/>
  <c r="AO4" i="4" a="1"/>
  <c r="AO4" i="4" s="1"/>
  <c r="C5" i="8"/>
  <c r="C12" i="8"/>
  <c r="I26" i="4" l="1"/>
  <c r="J26" i="4"/>
  <c r="I25" i="4"/>
  <c r="J25" i="4"/>
  <c r="J50" i="3"/>
  <c r="J48" i="3"/>
  <c r="J49" i="3"/>
  <c r="J47" i="3"/>
  <c r="J51" i="3"/>
  <c r="J46" i="3"/>
  <c r="J53" i="3"/>
  <c r="J52" i="3"/>
  <c r="B12" i="8"/>
  <c r="B5" i="8"/>
  <c r="B8" i="8"/>
  <c r="B13" i="8"/>
  <c r="G27" i="4"/>
  <c r="C11" i="8"/>
  <c r="C9" i="8"/>
  <c r="C8" i="8"/>
  <c r="C7" i="8"/>
  <c r="C6" i="8"/>
  <c r="C10" i="8"/>
  <c r="B11" i="8" l="1"/>
  <c r="B6" i="8"/>
  <c r="B9" i="8"/>
  <c r="B10" i="8"/>
  <c r="B7" i="8"/>
  <c r="D4" i="8"/>
  <c r="E5" i="8"/>
  <c r="D5" i="8"/>
  <c r="K5" i="8" l="1"/>
  <c r="M5" i="8" s="1"/>
  <c r="G5" i="8"/>
  <c r="J5" i="8"/>
  <c r="F5" i="8"/>
  <c r="H5" i="8"/>
  <c r="D6" i="8"/>
  <c r="F4" i="8"/>
  <c r="E6" i="8"/>
  <c r="E7" i="8"/>
  <c r="E13" i="5"/>
  <c r="G13" i="5"/>
  <c r="K13" i="5" l="1"/>
  <c r="I13" i="5"/>
  <c r="A13" i="5"/>
  <c r="C13" i="5"/>
  <c r="G7" i="8"/>
  <c r="E4" i="8"/>
  <c r="D7" i="8"/>
  <c r="F7" i="8" s="1"/>
  <c r="H7" i="8" s="1"/>
  <c r="K6" i="8"/>
  <c r="M6" i="8" s="1"/>
  <c r="G6" i="8"/>
  <c r="J6" i="8"/>
  <c r="H6" i="8"/>
  <c r="F6" i="8"/>
  <c r="E8" i="8"/>
  <c r="D8" i="8" l="1"/>
  <c r="K8" i="8" s="1"/>
  <c r="M8" i="8" s="1"/>
  <c r="G8" i="8"/>
  <c r="G4" i="8"/>
  <c r="H4" i="8"/>
  <c r="J7" i="8"/>
  <c r="K7" i="8" s="1"/>
  <c r="M7" i="8" s="1"/>
  <c r="E9" i="8"/>
  <c r="D9" i="8"/>
  <c r="J8" i="8" l="1"/>
  <c r="H9" i="8"/>
  <c r="F9" i="8"/>
  <c r="K9" i="8"/>
  <c r="M9" i="8" s="1"/>
  <c r="G9" i="8"/>
  <c r="J9" i="8"/>
  <c r="H8" i="8"/>
  <c r="F8" i="8"/>
  <c r="D10" i="8"/>
  <c r="F10" i="8" l="1"/>
  <c r="D11" i="8"/>
  <c r="E11" i="8"/>
  <c r="G11" i="8" l="1"/>
  <c r="J11" i="8"/>
  <c r="K11" i="8" s="1"/>
  <c r="M11" i="8" s="1"/>
  <c r="H11" i="8"/>
  <c r="F11" i="8"/>
  <c r="E10" i="8"/>
  <c r="E13" i="8"/>
  <c r="D13" i="8"/>
  <c r="F13" i="8" l="1"/>
  <c r="H13" i="8"/>
  <c r="K13" i="8"/>
  <c r="M13" i="8" s="1"/>
  <c r="G13" i="8"/>
  <c r="J13" i="8"/>
  <c r="G10" i="8"/>
  <c r="K10" i="8"/>
  <c r="M10" i="8" s="1"/>
  <c r="J10" i="8"/>
  <c r="H10" i="8"/>
  <c r="D12" i="8" l="1"/>
  <c r="F12" i="8" s="1"/>
  <c r="E12" i="8"/>
  <c r="K12" i="8" l="1"/>
  <c r="M12" i="8" s="1"/>
  <c r="G12" i="8"/>
  <c r="J12" i="8"/>
  <c r="H12" i="8"/>
  <c r="I5" i="7" l="1"/>
  <c r="J5" i="7" s="1"/>
  <c r="E7" i="5" l="1"/>
  <c r="G5" i="5"/>
  <c r="E10" i="5"/>
  <c r="G4" i="5"/>
  <c r="G9" i="5"/>
  <c r="G11" i="5"/>
  <c r="G6" i="5"/>
  <c r="E8" i="5"/>
  <c r="G12" i="5"/>
  <c r="E5" i="5" l="1"/>
  <c r="E12" i="5"/>
  <c r="G10" i="5"/>
  <c r="I10" i="5" s="1"/>
  <c r="E4" i="5"/>
  <c r="G7" i="5"/>
  <c r="K7" i="5" s="1"/>
  <c r="G8" i="5"/>
  <c r="A8" i="5" s="1"/>
  <c r="E9" i="5"/>
  <c r="E6" i="5"/>
  <c r="E11" i="5"/>
  <c r="A9" i="5" l="1"/>
  <c r="K9" i="5"/>
  <c r="I9" i="5"/>
  <c r="C9" i="5"/>
  <c r="K4" i="5"/>
  <c r="I4" i="5"/>
  <c r="A4" i="5"/>
  <c r="C4" i="5"/>
  <c r="K10" i="5"/>
  <c r="K12" i="5"/>
  <c r="A12" i="5"/>
  <c r="C12" i="5"/>
  <c r="I12" i="5"/>
  <c r="A7" i="5"/>
  <c r="A10" i="5"/>
  <c r="C8" i="5"/>
  <c r="K8" i="5"/>
  <c r="C7" i="5"/>
  <c r="C10" i="5"/>
  <c r="I8" i="5"/>
  <c r="I6" i="5"/>
  <c r="A6" i="5"/>
  <c r="K6" i="5"/>
  <c r="C6" i="5"/>
  <c r="K5" i="5"/>
  <c r="A5" i="5"/>
  <c r="C5" i="5"/>
  <c r="I5" i="5"/>
  <c r="I7" i="5"/>
  <c r="K11" i="5"/>
  <c r="A11" i="5"/>
  <c r="I11" i="5"/>
  <c r="C11" i="5"/>
  <c r="I5" i="10"/>
  <c r="H5" i="10"/>
  <c r="C42" i="10"/>
  <c r="C39" i="10"/>
  <c r="J33" i="10"/>
  <c r="I33" i="10"/>
  <c r="E33" i="10"/>
  <c r="D33" i="10"/>
  <c r="A35" i="10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C37" i="10"/>
  <c r="C40" i="10"/>
  <c r="C38" i="10"/>
  <c r="C41" i="10"/>
  <c r="E40" i="10"/>
  <c r="D40" i="10"/>
  <c r="C36" i="10"/>
  <c r="C43" i="10"/>
  <c r="E36" i="10"/>
  <c r="D36" i="10"/>
  <c r="D43" i="10"/>
  <c r="E38" i="10"/>
  <c r="D38" i="10"/>
  <c r="D35" i="10"/>
  <c r="E42" i="10"/>
  <c r="D42" i="10"/>
  <c r="E37" i="10"/>
  <c r="D37" i="10"/>
  <c r="D41" i="10"/>
  <c r="E43" i="10"/>
  <c r="E41" i="10"/>
  <c r="E35" i="10"/>
  <c r="C35" i="10"/>
  <c r="E39" i="10"/>
  <c r="D39" i="10"/>
  <c r="C33" i="10"/>
  <c r="F33" i="10"/>
  <c r="O14" i="10" l="1"/>
  <c r="N14" i="10"/>
  <c r="S39" i="10"/>
  <c r="S42" i="10"/>
  <c r="S40" i="10"/>
  <c r="S38" i="10"/>
  <c r="M16" i="10"/>
  <c r="M2" i="10" s="1"/>
  <c r="S37" i="10"/>
  <c r="S33" i="10"/>
  <c r="S36" i="10"/>
  <c r="S41" i="10"/>
  <c r="S43" i="10"/>
  <c r="S35" i="10"/>
  <c r="F35" i="10"/>
  <c r="F36" i="10" s="1"/>
  <c r="F37" i="10" s="1"/>
  <c r="F38" i="10" s="1"/>
  <c r="F39" i="10" s="1"/>
  <c r="F40" i="10" s="1"/>
  <c r="F41" i="10" s="1"/>
  <c r="F42" i="10" s="1"/>
  <c r="F43" i="10" s="1"/>
  <c r="F44" i="10" s="1"/>
  <c r="O3" i="10"/>
  <c r="N8" i="10"/>
  <c r="N4" i="10"/>
  <c r="O4" i="10"/>
  <c r="O9" i="10"/>
  <c r="C47" i="10"/>
  <c r="O5" i="10" s="1"/>
  <c r="O10" i="10"/>
  <c r="O8" i="10"/>
  <c r="N7" i="10"/>
  <c r="P14" i="10" l="1"/>
  <c r="H46" i="10"/>
  <c r="K10" i="10"/>
  <c r="Q14" i="10"/>
  <c r="AP3" i="10"/>
  <c r="N12" i="10"/>
  <c r="J64" i="10"/>
  <c r="J98" i="10"/>
  <c r="H89" i="10"/>
  <c r="H107" i="10"/>
  <c r="I107" i="10" s="1"/>
  <c r="AQ1" i="10"/>
  <c r="O11" i="10"/>
  <c r="AM3" i="10" s="1"/>
  <c r="AM4" i="10" s="1" a="1"/>
  <c r="AM4" i="10" s="1"/>
  <c r="Q11" i="10" s="1"/>
  <c r="O6" i="10"/>
  <c r="AH3" i="10" s="1"/>
  <c r="AH4" i="10" s="1" a="1"/>
  <c r="AH4" i="10" s="1"/>
  <c r="Q6" i="10" s="1"/>
  <c r="N3" i="10"/>
  <c r="H34" i="10" s="1"/>
  <c r="N6" i="10"/>
  <c r="H21" i="10" s="1"/>
  <c r="J21" i="10" s="1"/>
  <c r="O12" i="10"/>
  <c r="N5" i="10"/>
  <c r="H54" i="10" s="1"/>
  <c r="J54" i="10" s="1"/>
  <c r="N13" i="10"/>
  <c r="N10" i="10"/>
  <c r="N11" i="10"/>
  <c r="I57" i="10" s="1"/>
  <c r="N9" i="10"/>
  <c r="O7" i="10"/>
  <c r="AI3" i="10" s="1"/>
  <c r="AI4" i="10" s="1" a="1"/>
  <c r="AI4" i="10" s="1"/>
  <c r="Q7" i="10" s="1"/>
  <c r="M31" i="10"/>
  <c r="O13" i="10"/>
  <c r="AO3" i="10" s="1"/>
  <c r="AO4" i="10" s="1" a="1"/>
  <c r="AO4" i="10" s="1"/>
  <c r="Q13" i="10" s="1"/>
  <c r="H78" i="10"/>
  <c r="J78" i="10" s="1"/>
  <c r="J47" i="10"/>
  <c r="AL3" i="10"/>
  <c r="AL4" i="10" s="1" a="1"/>
  <c r="AL4" i="10" s="1"/>
  <c r="Q10" i="10" s="1"/>
  <c r="AK3" i="10"/>
  <c r="AK4" i="10" s="1" a="1"/>
  <c r="AK4" i="10" s="1"/>
  <c r="Q9" i="10" s="1"/>
  <c r="AF3" i="10"/>
  <c r="AF4" i="10" s="1" a="1"/>
  <c r="AF4" i="10" s="1"/>
  <c r="Q4" i="10" s="1"/>
  <c r="K5" i="10"/>
  <c r="K6" i="10"/>
  <c r="K11" i="10"/>
  <c r="K7" i="10"/>
  <c r="K13" i="10"/>
  <c r="K12" i="10"/>
  <c r="K4" i="10"/>
  <c r="K3" i="10"/>
  <c r="K9" i="10"/>
  <c r="K52" i="10"/>
  <c r="K2" i="10"/>
  <c r="U3" i="10"/>
  <c r="U4" i="10" s="1" a="1"/>
  <c r="U4" i="10" s="1"/>
  <c r="P4" i="10" s="1"/>
  <c r="K8" i="10"/>
  <c r="K18" i="10"/>
  <c r="J81" i="10"/>
  <c r="AJ3" i="10"/>
  <c r="AJ4" i="10" s="1" a="1"/>
  <c r="AJ4" i="10" s="1"/>
  <c r="Q8" i="10" s="1"/>
  <c r="Y3" i="10"/>
  <c r="Y4" i="10" s="1" a="1"/>
  <c r="Y4" i="10" s="1"/>
  <c r="P8" i="10" s="1"/>
  <c r="K22" i="10"/>
  <c r="K56" i="10"/>
  <c r="K39" i="10"/>
  <c r="AJ2" i="10" a="1"/>
  <c r="AJ2" i="10" s="1"/>
  <c r="AE3" i="10"/>
  <c r="AE4" i="10" s="1" a="1"/>
  <c r="AE4" i="10" s="1"/>
  <c r="Q3" i="10" s="1"/>
  <c r="X3" i="10"/>
  <c r="X4" i="10" s="1" a="1"/>
  <c r="X4" i="10" s="1"/>
  <c r="P7" i="10" s="1"/>
  <c r="I21" i="10"/>
  <c r="I78" i="10"/>
  <c r="AG3" i="10"/>
  <c r="AG4" i="10" s="1" a="1"/>
  <c r="AG4" i="10" s="1"/>
  <c r="Q5" i="10" s="1"/>
  <c r="K35" i="10"/>
  <c r="H45" i="10" l="1"/>
  <c r="J45" i="10" s="1"/>
  <c r="I45" i="10"/>
  <c r="G46" i="10"/>
  <c r="I26" i="10"/>
  <c r="AC3" i="10"/>
  <c r="AC4" i="10" s="1" a="1"/>
  <c r="AC4" i="10" s="1"/>
  <c r="P12" i="10" s="1"/>
  <c r="M25" i="10" s="1"/>
  <c r="N25" i="10" s="1"/>
  <c r="I25" i="10"/>
  <c r="H26" i="10"/>
  <c r="J26" i="10" s="1"/>
  <c r="H25" i="10"/>
  <c r="J25" i="10" s="1"/>
  <c r="H94" i="10"/>
  <c r="I34" i="10"/>
  <c r="J34" i="10"/>
  <c r="R8" i="10"/>
  <c r="I38" i="10"/>
  <c r="I52" i="10"/>
  <c r="J97" i="10"/>
  <c r="J63" i="10"/>
  <c r="H57" i="10"/>
  <c r="J57" i="10" s="1"/>
  <c r="H53" i="10"/>
  <c r="J53" i="10" s="1"/>
  <c r="G53" i="10"/>
  <c r="I53" i="10"/>
  <c r="I42" i="10"/>
  <c r="H38" i="10"/>
  <c r="J38" i="10" s="1"/>
  <c r="I44" i="10"/>
  <c r="H44" i="10"/>
  <c r="J44" i="10" s="1"/>
  <c r="G57" i="10"/>
  <c r="H61" i="10"/>
  <c r="J61" i="10" s="1"/>
  <c r="H90" i="10"/>
  <c r="I58" i="10"/>
  <c r="G92" i="10"/>
  <c r="I60" i="10"/>
  <c r="H91" i="10"/>
  <c r="I59" i="10"/>
  <c r="H58" i="10"/>
  <c r="J58" i="10" s="1"/>
  <c r="H86" i="10"/>
  <c r="I54" i="10"/>
  <c r="H52" i="10"/>
  <c r="J52" i="10" s="1"/>
  <c r="H87" i="10"/>
  <c r="I55" i="10"/>
  <c r="H59" i="10"/>
  <c r="J59" i="10" s="1"/>
  <c r="H56" i="10"/>
  <c r="J56" i="10" s="1"/>
  <c r="H60" i="10"/>
  <c r="J60" i="10" s="1"/>
  <c r="H55" i="10"/>
  <c r="J55" i="10" s="1"/>
  <c r="G56" i="10"/>
  <c r="I56" i="10"/>
  <c r="I73" i="10"/>
  <c r="H71" i="10"/>
  <c r="J71" i="10" s="1"/>
  <c r="H69" i="10"/>
  <c r="J69" i="10" s="1"/>
  <c r="H76" i="10"/>
  <c r="J76" i="10" s="1"/>
  <c r="I71" i="10"/>
  <c r="H77" i="10"/>
  <c r="J77" i="10" s="1"/>
  <c r="H75" i="10"/>
  <c r="J75" i="10" s="1"/>
  <c r="I77" i="10"/>
  <c r="I90" i="10"/>
  <c r="J90" i="10"/>
  <c r="J91" i="10"/>
  <c r="I91" i="10"/>
  <c r="G107" i="10"/>
  <c r="G89" i="10"/>
  <c r="J86" i="10"/>
  <c r="I86" i="10"/>
  <c r="J94" i="10"/>
  <c r="I94" i="10"/>
  <c r="J87" i="10"/>
  <c r="I87" i="10"/>
  <c r="H92" i="10"/>
  <c r="G87" i="10"/>
  <c r="H93" i="10"/>
  <c r="J89" i="10"/>
  <c r="I89" i="10"/>
  <c r="G93" i="10"/>
  <c r="G86" i="10"/>
  <c r="G88" i="10"/>
  <c r="H88" i="10"/>
  <c r="H39" i="10"/>
  <c r="J39" i="10" s="1"/>
  <c r="H108" i="10"/>
  <c r="I108" i="10" s="1"/>
  <c r="I41" i="10"/>
  <c r="H110" i="10"/>
  <c r="I110" i="10" s="1"/>
  <c r="G110" i="10"/>
  <c r="H109" i="10"/>
  <c r="I109" i="10" s="1"/>
  <c r="H112" i="10"/>
  <c r="I112" i="10" s="1"/>
  <c r="I18" i="10"/>
  <c r="G104" i="10"/>
  <c r="H104" i="10"/>
  <c r="I104" i="10" s="1"/>
  <c r="H105" i="10"/>
  <c r="I105" i="10" s="1"/>
  <c r="G105" i="10"/>
  <c r="G106" i="10"/>
  <c r="AD3" i="10"/>
  <c r="AD4" i="10" s="1" a="1"/>
  <c r="AD4" i="10" s="1"/>
  <c r="P13" i="10" s="1"/>
  <c r="G45" i="10" s="1"/>
  <c r="H106" i="10"/>
  <c r="I106" i="10" s="1"/>
  <c r="G111" i="10"/>
  <c r="H111" i="10"/>
  <c r="I111" i="10" s="1"/>
  <c r="H73" i="10"/>
  <c r="J73" i="10" s="1"/>
  <c r="I76" i="10"/>
  <c r="I19" i="10"/>
  <c r="V3" i="10"/>
  <c r="V4" i="10" s="1" a="1"/>
  <c r="V4" i="10" s="1"/>
  <c r="P5" i="10" s="1"/>
  <c r="G20" i="10" s="1"/>
  <c r="K19" i="10"/>
  <c r="I70" i="10"/>
  <c r="H74" i="10"/>
  <c r="J74" i="10" s="1"/>
  <c r="K36" i="10"/>
  <c r="K42" i="10"/>
  <c r="I75" i="10"/>
  <c r="R7" i="10"/>
  <c r="AB3" i="10"/>
  <c r="AB4" i="10" s="1" a="1"/>
  <c r="AB4" i="10" s="1"/>
  <c r="P11" i="10" s="1"/>
  <c r="R11" i="10" s="1"/>
  <c r="H20" i="10"/>
  <c r="J20" i="10" s="1"/>
  <c r="H23" i="10"/>
  <c r="J23" i="10" s="1"/>
  <c r="K27" i="10"/>
  <c r="K25" i="10"/>
  <c r="AN3" i="10"/>
  <c r="AN4" i="10" s="1" a="1"/>
  <c r="AN4" i="10" s="1"/>
  <c r="Q12" i="10" s="1"/>
  <c r="K61" i="10"/>
  <c r="I20" i="10"/>
  <c r="K37" i="10"/>
  <c r="H22" i="10"/>
  <c r="J22" i="10" s="1"/>
  <c r="K26" i="10"/>
  <c r="I37" i="10"/>
  <c r="I72" i="10"/>
  <c r="H72" i="10"/>
  <c r="J72" i="10" s="1"/>
  <c r="H70" i="10"/>
  <c r="J70" i="10" s="1"/>
  <c r="I74" i="10"/>
  <c r="I36" i="10"/>
  <c r="I69" i="10"/>
  <c r="J80" i="10"/>
  <c r="AA3" i="10"/>
  <c r="AA4" i="10" s="1" a="1"/>
  <c r="AA4" i="10" s="1"/>
  <c r="P10" i="10" s="1"/>
  <c r="K53" i="10"/>
  <c r="H42" i="10"/>
  <c r="J42" i="10" s="1"/>
  <c r="I40" i="10"/>
  <c r="K54" i="10"/>
  <c r="H40" i="10"/>
  <c r="J40" i="10" s="1"/>
  <c r="K20" i="10"/>
  <c r="W3" i="10"/>
  <c r="W4" i="10" s="1" a="1"/>
  <c r="W4" i="10" s="1"/>
  <c r="P6" i="10" s="1"/>
  <c r="G69" i="10" s="1"/>
  <c r="K41" i="10"/>
  <c r="K58" i="10"/>
  <c r="K24" i="10"/>
  <c r="H41" i="10"/>
  <c r="J41" i="10" s="1"/>
  <c r="I35" i="10"/>
  <c r="H37" i="10"/>
  <c r="J37" i="10" s="1"/>
  <c r="I22" i="10"/>
  <c r="K40" i="10"/>
  <c r="H18" i="10"/>
  <c r="J18" i="10" s="1"/>
  <c r="K59" i="10"/>
  <c r="K57" i="10"/>
  <c r="K38" i="10"/>
  <c r="I23" i="10"/>
  <c r="H43" i="10"/>
  <c r="J43" i="10" s="1"/>
  <c r="K43" i="10"/>
  <c r="H24" i="10"/>
  <c r="J24" i="10" s="1"/>
  <c r="K55" i="10"/>
  <c r="T3" i="10"/>
  <c r="T4" i="10" s="1" a="1"/>
  <c r="T4" i="10" s="1"/>
  <c r="P3" i="10" s="1"/>
  <c r="AQ2" i="10" s="1"/>
  <c r="K21" i="10"/>
  <c r="I24" i="10"/>
  <c r="I43" i="10"/>
  <c r="H35" i="10"/>
  <c r="J35" i="10" s="1"/>
  <c r="K60" i="10"/>
  <c r="H19" i="10"/>
  <c r="J19" i="10" s="1"/>
  <c r="H36" i="10"/>
  <c r="J36" i="10" s="1"/>
  <c r="K23" i="10"/>
  <c r="I39" i="10"/>
  <c r="Z3" i="10"/>
  <c r="Z4" i="10" s="1" a="1"/>
  <c r="Z4" i="10" s="1"/>
  <c r="P9" i="10" s="1"/>
  <c r="R9" i="10" s="1"/>
  <c r="AQ3" i="10"/>
  <c r="AQ7" i="10"/>
  <c r="M21" i="10"/>
  <c r="N21" i="10" s="1"/>
  <c r="G71" i="10"/>
  <c r="AQ6" i="10"/>
  <c r="M20" i="10"/>
  <c r="N20" i="10" s="1"/>
  <c r="G78" i="10"/>
  <c r="R4" i="10"/>
  <c r="G26" i="10" l="1"/>
  <c r="G25" i="10"/>
  <c r="M26" i="10"/>
  <c r="N26" i="10" s="1"/>
  <c r="G21" i="10"/>
  <c r="G77" i="10"/>
  <c r="G18" i="10"/>
  <c r="G37" i="10"/>
  <c r="R6" i="10"/>
  <c r="G38" i="10"/>
  <c r="R12" i="10"/>
  <c r="G44" i="10"/>
  <c r="R10" i="10"/>
  <c r="G42" i="10"/>
  <c r="G52" i="10"/>
  <c r="G58" i="10"/>
  <c r="G54" i="10"/>
  <c r="G55" i="10"/>
  <c r="G59" i="10"/>
  <c r="G60" i="10"/>
  <c r="G61" i="10"/>
  <c r="I61" i="10" s="1"/>
  <c r="R5" i="10"/>
  <c r="G35" i="10"/>
  <c r="G74" i="10"/>
  <c r="G41" i="10"/>
  <c r="AQ5" i="10"/>
  <c r="G70" i="10"/>
  <c r="G36" i="10"/>
  <c r="G75" i="10"/>
  <c r="G94" i="10"/>
  <c r="G76" i="10"/>
  <c r="G108" i="10"/>
  <c r="G90" i="10"/>
  <c r="G109" i="10"/>
  <c r="G91" i="10"/>
  <c r="J93" i="10"/>
  <c r="I93" i="10"/>
  <c r="J92" i="10"/>
  <c r="I92" i="10"/>
  <c r="J88" i="10"/>
  <c r="I88" i="10"/>
  <c r="G112" i="10"/>
  <c r="G43" i="10"/>
  <c r="AQ12" i="10"/>
  <c r="M18" i="10"/>
  <c r="N18" i="10" s="1"/>
  <c r="AQ4" i="10"/>
  <c r="AQ11" i="10"/>
  <c r="G24" i="10"/>
  <c r="AQ10" i="10"/>
  <c r="M24" i="10"/>
  <c r="N24" i="10" s="1"/>
  <c r="G22" i="10"/>
  <c r="G72" i="10"/>
  <c r="G23" i="10"/>
  <c r="G73" i="10"/>
  <c r="G40" i="10"/>
  <c r="M23" i="10"/>
  <c r="N23" i="10" s="1"/>
  <c r="AQ9" i="10"/>
  <c r="G19" i="10"/>
  <c r="M19" i="10"/>
  <c r="N19" i="10" s="1"/>
  <c r="G39" i="10"/>
  <c r="M22" i="10"/>
  <c r="N22" i="10" s="1"/>
  <c r="M17" i="10"/>
  <c r="AQ8" i="10"/>
  <c r="G18" i="7"/>
  <c r="E17" i="7"/>
  <c r="F17" i="7"/>
  <c r="J17" i="7"/>
  <c r="D17" i="7"/>
  <c r="H51" i="10" l="1"/>
  <c r="J51" i="10" s="1"/>
  <c r="H17" i="10"/>
  <c r="G17" i="10"/>
  <c r="H64" i="10"/>
  <c r="I64" i="10" s="1"/>
  <c r="N17" i="10"/>
  <c r="H68" i="10"/>
  <c r="J68" i="10" s="1"/>
  <c r="G19" i="7"/>
  <c r="G20" i="7" s="1"/>
  <c r="G21" i="7" s="1"/>
  <c r="G22" i="7" s="1"/>
  <c r="G23" i="7" s="1"/>
  <c r="G24" i="7" s="1"/>
  <c r="G25" i="7" s="1"/>
  <c r="G26" i="7" s="1"/>
  <c r="G27" i="7" s="1"/>
  <c r="G30" i="7" s="1"/>
  <c r="G31" i="7" s="1"/>
  <c r="J61" i="7" l="1"/>
  <c r="J57" i="7"/>
  <c r="J55" i="7"/>
  <c r="J56" i="7"/>
  <c r="J58" i="7"/>
  <c r="J60" i="7"/>
  <c r="J59" i="7"/>
  <c r="J17" i="10"/>
  <c r="I17" i="10"/>
  <c r="J46" i="10"/>
  <c r="J36" i="7"/>
  <c r="H97" i="7" l="1"/>
  <c r="I97" i="7"/>
  <c r="K97" i="7" s="1"/>
  <c r="I98" i="7"/>
  <c r="K98" i="7" s="1"/>
  <c r="H98" i="7"/>
  <c r="I95" i="7"/>
  <c r="I96" i="7"/>
  <c r="K96" i="7" s="1"/>
  <c r="H95" i="7"/>
  <c r="H31" i="7"/>
  <c r="I31" i="7"/>
  <c r="K31" i="7" s="1"/>
  <c r="H30" i="7"/>
  <c r="I30" i="7"/>
  <c r="K30" i="7" s="1"/>
  <c r="H63" i="7"/>
  <c r="J63" i="7" s="1"/>
  <c r="I63" i="7"/>
  <c r="K63" i="7" s="1"/>
  <c r="H64" i="7"/>
  <c r="J64" i="7" s="1"/>
  <c r="I64" i="7"/>
  <c r="K64" i="7" s="1"/>
  <c r="I62" i="7"/>
  <c r="K62" i="7" s="1"/>
  <c r="I53" i="7"/>
  <c r="I61" i="7"/>
  <c r="K61" i="7" s="1"/>
  <c r="H61" i="7"/>
  <c r="I55" i="7"/>
  <c r="K55" i="7" s="1"/>
  <c r="H60" i="7"/>
  <c r="I56" i="7"/>
  <c r="K56" i="7" s="1"/>
  <c r="I58" i="7"/>
  <c r="K58" i="7" s="1"/>
  <c r="I57" i="7"/>
  <c r="K57" i="7" s="1"/>
  <c r="I54" i="7"/>
  <c r="K54" i="7" s="1"/>
  <c r="I60" i="7"/>
  <c r="K60" i="7" s="1"/>
  <c r="I59" i="7"/>
  <c r="K59" i="7" s="1"/>
  <c r="H53" i="7"/>
  <c r="H59" i="7"/>
  <c r="H57" i="7"/>
  <c r="H56" i="7"/>
  <c r="J98" i="7" l="1"/>
  <c r="J97" i="7"/>
  <c r="H96" i="7"/>
  <c r="J96" i="7"/>
  <c r="K95" i="7"/>
  <c r="J95" i="7"/>
  <c r="H58" i="7"/>
  <c r="H62" i="7"/>
  <c r="J62" i="7" s="1"/>
  <c r="K53" i="7"/>
  <c r="J53" i="7"/>
  <c r="I6" i="7"/>
  <c r="J6" i="7" s="1"/>
  <c r="I12" i="7"/>
  <c r="J12" i="7" s="1"/>
  <c r="I9" i="7"/>
  <c r="J9" i="7" s="1"/>
  <c r="I10" i="7"/>
  <c r="J10" i="7" s="1"/>
  <c r="I11" i="7"/>
  <c r="J11" i="7" s="1"/>
  <c r="I8" i="7"/>
  <c r="J8" i="7" s="1"/>
  <c r="I7" i="7"/>
  <c r="J7" i="7" s="1"/>
  <c r="H55" i="7" l="1"/>
  <c r="I65" i="7" l="1"/>
  <c r="J65" i="7" s="1"/>
  <c r="I35" i="7" l="1"/>
  <c r="J35" i="7"/>
  <c r="H54" i="7"/>
  <c r="J54" i="7"/>
  <c r="P5" i="7"/>
  <c r="C20" i="8" s="1"/>
  <c r="P14" i="7"/>
  <c r="P15" i="7"/>
  <c r="P8" i="7"/>
  <c r="AL4" i="7" s="1"/>
  <c r="AL5" i="7" s="1" a="1"/>
  <c r="AL5" i="7" s="1"/>
  <c r="O12" i="7"/>
  <c r="O9" i="7"/>
  <c r="AM3" i="7" a="1"/>
  <c r="AM3" i="7" s="1"/>
  <c r="P10" i="7"/>
  <c r="O13" i="7"/>
  <c r="P12" i="7"/>
  <c r="P11" i="7"/>
  <c r="C26" i="8" s="1"/>
  <c r="P13" i="7"/>
  <c r="C28" i="8" s="1"/>
  <c r="O6" i="7"/>
  <c r="O4" i="7"/>
  <c r="B19" i="8" s="1"/>
  <c r="O5" i="7"/>
  <c r="O8" i="7"/>
  <c r="O7" i="7"/>
  <c r="P7" i="7"/>
  <c r="AK4" i="7" s="1"/>
  <c r="AK5" i="7" s="1" a="1"/>
  <c r="AK5" i="7" s="1"/>
  <c r="O10" i="7"/>
  <c r="P6" i="7"/>
  <c r="AJ4" i="7" s="1"/>
  <c r="AJ5" i="7" s="1" a="1"/>
  <c r="AJ5" i="7" s="1"/>
  <c r="P9" i="7"/>
  <c r="C24" i="8" s="1"/>
  <c r="P4" i="7"/>
  <c r="T77" i="7"/>
  <c r="N32" i="7"/>
  <c r="N17" i="7" s="1"/>
  <c r="N3" i="7" s="1"/>
  <c r="O15" i="7"/>
  <c r="AF4" i="7" s="1"/>
  <c r="O14" i="7"/>
  <c r="O11" i="7"/>
  <c r="J24" i="7" s="1"/>
  <c r="I78" i="7" l="1"/>
  <c r="K78" i="7" s="1"/>
  <c r="W4" i="7"/>
  <c r="W5" i="7" s="1" a="1"/>
  <c r="W5" i="7" s="1"/>
  <c r="Q6" i="7" s="1"/>
  <c r="N20" i="7" s="1"/>
  <c r="L20" i="7"/>
  <c r="I91" i="7"/>
  <c r="I89" i="7"/>
  <c r="I87" i="7"/>
  <c r="I94" i="7"/>
  <c r="I90" i="7"/>
  <c r="I93" i="7"/>
  <c r="I92" i="7"/>
  <c r="I88" i="7"/>
  <c r="L53" i="7"/>
  <c r="K101" i="7"/>
  <c r="I28" i="7"/>
  <c r="K28" i="7" s="1"/>
  <c r="L28" i="7"/>
  <c r="J28" i="7"/>
  <c r="AF5" i="7" a="1"/>
  <c r="AF5" i="7" s="1"/>
  <c r="Q15" i="7" s="1"/>
  <c r="N29" i="7" s="1"/>
  <c r="O29" i="7" s="1"/>
  <c r="J27" i="7"/>
  <c r="I76" i="7"/>
  <c r="K76" i="7" s="1"/>
  <c r="I75" i="7"/>
  <c r="K75" i="7" s="1"/>
  <c r="I77" i="7"/>
  <c r="K77" i="7" s="1"/>
  <c r="J23" i="7"/>
  <c r="L38" i="7"/>
  <c r="AD4" i="7"/>
  <c r="AD5" i="7" s="1" a="1"/>
  <c r="AD5" i="7" s="1"/>
  <c r="Q13" i="7" s="1"/>
  <c r="J26" i="7"/>
  <c r="J22" i="7"/>
  <c r="I25" i="7"/>
  <c r="K25" i="7" s="1"/>
  <c r="I22" i="7"/>
  <c r="K22" i="7" s="1"/>
  <c r="I27" i="7"/>
  <c r="K27" i="7" s="1"/>
  <c r="I24" i="7"/>
  <c r="K24" i="7" s="1"/>
  <c r="I26" i="7"/>
  <c r="K26" i="7" s="1"/>
  <c r="I20" i="7"/>
  <c r="K20" i="7" s="1"/>
  <c r="I21" i="7"/>
  <c r="K21" i="7" s="1"/>
  <c r="I23" i="7"/>
  <c r="K23" i="7" s="1"/>
  <c r="I19" i="7"/>
  <c r="K19" i="7" s="1"/>
  <c r="B27" i="8"/>
  <c r="J25" i="7"/>
  <c r="Y4" i="7"/>
  <c r="Y5" i="7" s="1" a="1"/>
  <c r="Y5" i="7" s="1"/>
  <c r="Q8" i="7" s="1"/>
  <c r="J21" i="7"/>
  <c r="J41" i="7"/>
  <c r="S14" i="7"/>
  <c r="C22" i="8"/>
  <c r="I73" i="7"/>
  <c r="K73" i="7" s="1"/>
  <c r="I41" i="7"/>
  <c r="K41" i="7" s="1"/>
  <c r="I38" i="7"/>
  <c r="K38" i="7" s="1"/>
  <c r="I46" i="7"/>
  <c r="K46" i="7" s="1"/>
  <c r="I47" i="7"/>
  <c r="K47" i="7" s="1"/>
  <c r="A18" i="8"/>
  <c r="I69" i="7"/>
  <c r="K69" i="7" s="1"/>
  <c r="I42" i="7"/>
  <c r="K42" i="7" s="1"/>
  <c r="I37" i="7"/>
  <c r="K37" i="7" s="1"/>
  <c r="AT2" i="7"/>
  <c r="I36" i="7"/>
  <c r="K36" i="7" s="1"/>
  <c r="I71" i="7"/>
  <c r="K71" i="7" s="1"/>
  <c r="I43" i="7"/>
  <c r="K43" i="7" s="1"/>
  <c r="I72" i="7"/>
  <c r="K72" i="7" s="1"/>
  <c r="I45" i="7"/>
  <c r="K45" i="7" s="1"/>
  <c r="I39" i="7"/>
  <c r="K39" i="7" s="1"/>
  <c r="I44" i="7"/>
  <c r="K44" i="7" s="1"/>
  <c r="I74" i="7"/>
  <c r="K74" i="7" s="1"/>
  <c r="I70" i="7"/>
  <c r="K70" i="7" s="1"/>
  <c r="I40" i="7"/>
  <c r="K40" i="7" s="1"/>
  <c r="AH4" i="7"/>
  <c r="AH5" i="7" s="1" a="1"/>
  <c r="AH5" i="7" s="1"/>
  <c r="R4" i="7" s="1"/>
  <c r="E19" i="8" s="1"/>
  <c r="L11" i="7"/>
  <c r="L9" i="7"/>
  <c r="L23" i="7"/>
  <c r="J38" i="7"/>
  <c r="X4" i="7"/>
  <c r="X5" i="7" s="1" a="1"/>
  <c r="X5" i="7" s="1"/>
  <c r="Q7" i="7" s="1"/>
  <c r="AE4" i="7"/>
  <c r="AE5" i="7" s="1" a="1"/>
  <c r="AE5" i="7" s="1"/>
  <c r="Q14" i="7" s="1"/>
  <c r="H28" i="7" s="1"/>
  <c r="L4" i="7"/>
  <c r="L25" i="7"/>
  <c r="AP4" i="7"/>
  <c r="AP5" i="7" s="1" a="1"/>
  <c r="AP5" i="7" s="1"/>
  <c r="R12" i="7" s="1"/>
  <c r="L40" i="7"/>
  <c r="V4" i="7"/>
  <c r="V5" i="7" s="1" a="1"/>
  <c r="V5" i="7" s="1"/>
  <c r="S12" i="7"/>
  <c r="S13" i="7"/>
  <c r="C21" i="8"/>
  <c r="L37" i="7"/>
  <c r="AS4" i="7"/>
  <c r="AS5" i="7" s="1" a="1"/>
  <c r="AS5" i="7" s="1"/>
  <c r="R15" i="7" s="1"/>
  <c r="AA4" i="7"/>
  <c r="AA5" i="7" s="1" a="1"/>
  <c r="AA5" i="7" s="1"/>
  <c r="Q10" i="7" s="1"/>
  <c r="H90" i="7" s="1"/>
  <c r="S9" i="7"/>
  <c r="L43" i="7"/>
  <c r="J45" i="7"/>
  <c r="AM4" i="7"/>
  <c r="AM5" i="7" s="1" a="1"/>
  <c r="AM5" i="7" s="1"/>
  <c r="R9" i="7" s="1"/>
  <c r="E24" i="8" s="1"/>
  <c r="L21" i="7"/>
  <c r="J46" i="7"/>
  <c r="L5" i="7"/>
  <c r="S11" i="7"/>
  <c r="J43" i="7"/>
  <c r="L13" i="7"/>
  <c r="L59" i="7"/>
  <c r="L56" i="7"/>
  <c r="L19" i="7"/>
  <c r="L42" i="7"/>
  <c r="L57" i="7"/>
  <c r="L26" i="7"/>
  <c r="L27" i="7"/>
  <c r="B24" i="8"/>
  <c r="L54" i="7"/>
  <c r="Z4" i="7"/>
  <c r="Z5" i="7" s="1" a="1"/>
  <c r="Z5" i="7" s="1"/>
  <c r="Q9" i="7" s="1"/>
  <c r="H89" i="7" s="1"/>
  <c r="U4" i="7"/>
  <c r="U5" i="7" s="1" a="1"/>
  <c r="U5" i="7" s="1"/>
  <c r="J37" i="7"/>
  <c r="J44" i="7"/>
  <c r="L61" i="7"/>
  <c r="B22" i="8"/>
  <c r="L7" i="7"/>
  <c r="L6" i="7"/>
  <c r="L62" i="7"/>
  <c r="S8" i="7"/>
  <c r="L60" i="7"/>
  <c r="L44" i="7"/>
  <c r="C23" i="8"/>
  <c r="C19" i="8"/>
  <c r="B25" i="8"/>
  <c r="R6" i="7"/>
  <c r="E21" i="8" s="1"/>
  <c r="B26" i="8"/>
  <c r="L39" i="7"/>
  <c r="L8" i="7"/>
  <c r="B23" i="8"/>
  <c r="R8" i="7"/>
  <c r="E23" i="8" s="1"/>
  <c r="S10" i="7"/>
  <c r="AQ4" i="7"/>
  <c r="AQ5" i="7" s="1" a="1"/>
  <c r="AQ5" i="7" s="1"/>
  <c r="R13" i="7" s="1"/>
  <c r="B28" i="8"/>
  <c r="AI4" i="7"/>
  <c r="AI5" i="7" s="1" a="1"/>
  <c r="AI5" i="7" s="1"/>
  <c r="R5" i="7" s="1"/>
  <c r="E20" i="8" s="1"/>
  <c r="L22" i="7"/>
  <c r="L10" i="7"/>
  <c r="L24" i="7"/>
  <c r="B21" i="8"/>
  <c r="AC4" i="7"/>
  <c r="AC5" i="7" s="1" a="1"/>
  <c r="AC5" i="7" s="1"/>
  <c r="Q12" i="7" s="1"/>
  <c r="J42" i="7"/>
  <c r="B29" i="8"/>
  <c r="J40" i="7"/>
  <c r="L3" i="7"/>
  <c r="C27" i="8"/>
  <c r="L58" i="7"/>
  <c r="AB4" i="7"/>
  <c r="AB5" i="7" s="1" a="1"/>
  <c r="AB5" i="7" s="1"/>
  <c r="Q11" i="7" s="1"/>
  <c r="H91" i="7" s="1"/>
  <c r="L41" i="7"/>
  <c r="L12" i="7"/>
  <c r="B20" i="8"/>
  <c r="C29" i="8"/>
  <c r="AN4" i="7"/>
  <c r="AN5" i="7" s="1" a="1"/>
  <c r="AN5" i="7" s="1"/>
  <c r="R10" i="7" s="1"/>
  <c r="E25" i="8" s="1"/>
  <c r="R7" i="7"/>
  <c r="E22" i="8" s="1"/>
  <c r="AR4" i="7"/>
  <c r="AR5" i="7" s="1" a="1"/>
  <c r="AR5" i="7" s="1"/>
  <c r="R14" i="7" s="1"/>
  <c r="H78" i="7" s="1"/>
  <c r="L14" i="7"/>
  <c r="L36" i="7"/>
  <c r="S7" i="7"/>
  <c r="C25" i="8"/>
  <c r="AO4" i="7"/>
  <c r="AO5" i="7" s="1" a="1"/>
  <c r="AO5" i="7" s="1"/>
  <c r="R11" i="7" s="1"/>
  <c r="E26" i="8" s="1"/>
  <c r="L55" i="7"/>
  <c r="J39" i="7"/>
  <c r="S6" i="7"/>
  <c r="H25" i="7" l="1"/>
  <c r="E28" i="8"/>
  <c r="G28" i="8" s="1"/>
  <c r="H93" i="7"/>
  <c r="E27" i="8"/>
  <c r="G27" i="8" s="1"/>
  <c r="H92" i="7"/>
  <c r="H21" i="7"/>
  <c r="H88" i="7"/>
  <c r="H39" i="7"/>
  <c r="H87" i="7"/>
  <c r="H77" i="7"/>
  <c r="H94" i="7"/>
  <c r="K88" i="7"/>
  <c r="J88" i="7"/>
  <c r="J92" i="7"/>
  <c r="K92" i="7"/>
  <c r="J93" i="7"/>
  <c r="K93" i="7"/>
  <c r="J90" i="7"/>
  <c r="K90" i="7"/>
  <c r="K94" i="7"/>
  <c r="J94" i="7"/>
  <c r="J87" i="7"/>
  <c r="K87" i="7"/>
  <c r="K89" i="7"/>
  <c r="J89" i="7"/>
  <c r="J91" i="7"/>
  <c r="K91" i="7"/>
  <c r="H75" i="7"/>
  <c r="H76" i="7"/>
  <c r="H24" i="7"/>
  <c r="H23" i="7"/>
  <c r="H19" i="7"/>
  <c r="H38" i="7"/>
  <c r="H22" i="7"/>
  <c r="H46" i="7"/>
  <c r="H27" i="7"/>
  <c r="H45" i="7"/>
  <c r="H26" i="7"/>
  <c r="H20" i="7"/>
  <c r="H72" i="7"/>
  <c r="H71" i="7"/>
  <c r="H74" i="7"/>
  <c r="H42" i="7"/>
  <c r="E29" i="8"/>
  <c r="G29" i="8" s="1"/>
  <c r="Q4" i="7"/>
  <c r="Q5" i="7"/>
  <c r="H69" i="7" s="1"/>
  <c r="H40" i="7"/>
  <c r="H70" i="7"/>
  <c r="H73" i="7"/>
  <c r="H44" i="7"/>
  <c r="H41" i="7"/>
  <c r="H43" i="7"/>
  <c r="O26" i="8"/>
  <c r="G26" i="8"/>
  <c r="G22" i="8"/>
  <c r="O22" i="8"/>
  <c r="O56" i="7"/>
  <c r="N56" i="7" s="1"/>
  <c r="D29" i="8"/>
  <c r="AT13" i="7"/>
  <c r="N28" i="7"/>
  <c r="O28" i="7" s="1"/>
  <c r="O20" i="7"/>
  <c r="AT5" i="7"/>
  <c r="O48" i="7"/>
  <c r="D21" i="8"/>
  <c r="I21" i="8" s="1"/>
  <c r="O23" i="8"/>
  <c r="G23" i="8"/>
  <c r="O55" i="7"/>
  <c r="N55" i="7" s="1"/>
  <c r="AT12" i="7"/>
  <c r="N27" i="7"/>
  <c r="O27" i="7" s="1"/>
  <c r="D28" i="8"/>
  <c r="O21" i="8"/>
  <c r="G21" i="8"/>
  <c r="D22" i="8"/>
  <c r="K22" i="8" s="1"/>
  <c r="N21" i="7"/>
  <c r="O49" i="7"/>
  <c r="N49" i="7" s="1"/>
  <c r="AT6" i="7"/>
  <c r="O24" i="8"/>
  <c r="G24" i="8"/>
  <c r="AT7" i="7"/>
  <c r="O50" i="7"/>
  <c r="N50" i="7" s="1"/>
  <c r="N22" i="7"/>
  <c r="D23" i="8"/>
  <c r="K23" i="8" s="1"/>
  <c r="D24" i="8"/>
  <c r="K24" i="8" s="1"/>
  <c r="N23" i="7"/>
  <c r="O51" i="7"/>
  <c r="N51" i="7" s="1"/>
  <c r="AT8" i="7"/>
  <c r="AT11" i="7"/>
  <c r="O54" i="7"/>
  <c r="N54" i="7" s="1"/>
  <c r="D27" i="8"/>
  <c r="N26" i="7"/>
  <c r="O26" i="7" s="1"/>
  <c r="O20" i="8"/>
  <c r="G20" i="8"/>
  <c r="N25" i="7"/>
  <c r="O25" i="7" s="1"/>
  <c r="AT10" i="7"/>
  <c r="D26" i="8"/>
  <c r="I26" i="8" s="1"/>
  <c r="O53" i="7"/>
  <c r="N53" i="7" s="1"/>
  <c r="N24" i="7"/>
  <c r="O24" i="7" s="1"/>
  <c r="D25" i="8"/>
  <c r="I25" i="8" s="1"/>
  <c r="O52" i="7"/>
  <c r="N52" i="7" s="1"/>
  <c r="AT9" i="7"/>
  <c r="O19" i="8"/>
  <c r="G19" i="8"/>
  <c r="J17" i="8"/>
  <c r="E17" i="8"/>
  <c r="O25" i="8"/>
  <c r="G25" i="8"/>
  <c r="O28" i="8" l="1"/>
  <c r="I28" i="8"/>
  <c r="O27" i="8"/>
  <c r="I27" i="8"/>
  <c r="H37" i="7"/>
  <c r="S5" i="7"/>
  <c r="H36" i="7"/>
  <c r="S4" i="7"/>
  <c r="O29" i="8"/>
  <c r="N19" i="7"/>
  <c r="O19" i="7" s="1"/>
  <c r="I29" i="8"/>
  <c r="O47" i="7"/>
  <c r="N47" i="7" s="1"/>
  <c r="D19" i="8"/>
  <c r="I19" i="8" s="1"/>
  <c r="N18" i="7"/>
  <c r="K28" i="8"/>
  <c r="AT4" i="7"/>
  <c r="O46" i="7"/>
  <c r="J31" i="8" s="1"/>
  <c r="K25" i="8"/>
  <c r="D20" i="8"/>
  <c r="K20" i="8" s="1"/>
  <c r="I22" i="8"/>
  <c r="K21" i="8"/>
  <c r="K27" i="8"/>
  <c r="AT3" i="7"/>
  <c r="O23" i="7"/>
  <c r="AT20" i="7"/>
  <c r="J20" i="7" s="1"/>
  <c r="I23" i="8"/>
  <c r="I24" i="8"/>
  <c r="O22" i="7"/>
  <c r="AT19" i="7"/>
  <c r="J19" i="7" s="1"/>
  <c r="K29" i="8"/>
  <c r="K26" i="8"/>
  <c r="J32" i="8" a="1"/>
  <c r="N48" i="7"/>
  <c r="O21" i="7"/>
  <c r="AT18" i="7"/>
  <c r="F25" i="8"/>
  <c r="H25" i="8" s="1"/>
  <c r="N25" i="8"/>
  <c r="N26" i="8"/>
  <c r="F26" i="8"/>
  <c r="H26" i="8" s="1"/>
  <c r="F27" i="8"/>
  <c r="H27" i="8" s="1"/>
  <c r="N27" i="8"/>
  <c r="N24" i="8"/>
  <c r="F24" i="8"/>
  <c r="H24" i="8" s="1"/>
  <c r="M24" i="8" s="1"/>
  <c r="F23" i="8"/>
  <c r="H23" i="8" s="1"/>
  <c r="M23" i="8" s="1"/>
  <c r="N23" i="8"/>
  <c r="F22" i="8"/>
  <c r="H22" i="8" s="1"/>
  <c r="M22" i="8" s="1"/>
  <c r="N22" i="8"/>
  <c r="F28" i="8"/>
  <c r="H28" i="8" s="1"/>
  <c r="N28" i="8"/>
  <c r="F21" i="8"/>
  <c r="H21" i="8" s="1"/>
  <c r="N21" i="8"/>
  <c r="N29" i="8"/>
  <c r="F29" i="8"/>
  <c r="H29" i="8" s="1"/>
  <c r="M25" i="8" l="1"/>
  <c r="F20" i="8"/>
  <c r="H20" i="8" s="1"/>
  <c r="I20" i="8"/>
  <c r="M27" i="8"/>
  <c r="N20" i="8"/>
  <c r="J19" i="8"/>
  <c r="N19" i="8"/>
  <c r="H19" i="8"/>
  <c r="F19" i="8"/>
  <c r="M28" i="8"/>
  <c r="O18" i="7"/>
  <c r="J20" i="8"/>
  <c r="M21" i="8"/>
  <c r="N46" i="7"/>
  <c r="M29" i="8"/>
  <c r="M26" i="8"/>
  <c r="J32" i="8"/>
  <c r="J21" i="8" s="1"/>
  <c r="J27" i="8"/>
  <c r="J29" i="8"/>
  <c r="J26" i="8"/>
  <c r="J23" i="8"/>
  <c r="J25" i="8"/>
  <c r="J28" i="8"/>
  <c r="J22" i="8"/>
  <c r="J24" i="8"/>
  <c r="M20" i="8" l="1"/>
  <c r="N57" i="7"/>
  <c r="I86" i="7" s="1"/>
  <c r="J86" i="7" s="1"/>
  <c r="H47" i="7"/>
  <c r="I18" i="7" l="1"/>
  <c r="H18" i="7"/>
  <c r="K18" i="7" l="1"/>
  <c r="J18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<sst xmlns="http://schemas.openxmlformats.org/spreadsheetml/2006/main" count="324" uniqueCount="173">
  <si>
    <t>Dec23</t>
  </si>
  <si>
    <t>Dec24</t>
  </si>
  <si>
    <t>Dec25</t>
  </si>
  <si>
    <t>Dec26</t>
  </si>
  <si>
    <t>Dec27</t>
  </si>
  <si>
    <t>Dec28</t>
  </si>
  <si>
    <t>Dec29</t>
  </si>
  <si>
    <t>Dec30</t>
  </si>
  <si>
    <t>Dec31</t>
  </si>
  <si>
    <t>QtyBid</t>
  </si>
  <si>
    <t>QtyAsk</t>
  </si>
  <si>
    <t>bid</t>
  </si>
  <si>
    <t>ask</t>
  </si>
  <si>
    <t>Comments 1</t>
  </si>
  <si>
    <t>Comments 2</t>
  </si>
  <si>
    <t>mdplock</t>
  </si>
  <si>
    <t>BNP</t>
  </si>
  <si>
    <t>JP</t>
  </si>
  <si>
    <t>Bank</t>
  </si>
  <si>
    <t>GS</t>
  </si>
  <si>
    <t>CS</t>
  </si>
  <si>
    <t>MS</t>
  </si>
  <si>
    <t>Uni</t>
  </si>
  <si>
    <t>Natixis</t>
  </si>
  <si>
    <t xml:space="preserve">  </t>
  </si>
  <si>
    <r>
      <t xml:space="preserve">&lt;-----   Decreasing the basis </t>
    </r>
    <r>
      <rPr>
        <sz val="11"/>
        <color theme="1"/>
        <rFont val="Calibri"/>
        <family val="2"/>
        <scheme val="minor"/>
      </rPr>
      <t xml:space="preserve">&lt;-----  </t>
    </r>
  </si>
  <si>
    <t>-----&gt;  Increasing the basis -----&gt;</t>
  </si>
  <si>
    <t>TIGHTEST RUN</t>
  </si>
  <si>
    <t>n</t>
  </si>
  <si>
    <t>ask = delta basis * n + ask(ref)</t>
  </si>
  <si>
    <t>bid = delta basis * n + bid(ref)</t>
  </si>
  <si>
    <t>Run ∆+0.125 bps basis</t>
  </si>
  <si>
    <t>Run ∆+0.25 bps basis</t>
  </si>
  <si>
    <t>Run ∆-0.125 bps basis</t>
  </si>
  <si>
    <t>Run ∆-0.25 bps basis</t>
  </si>
  <si>
    <t>Barclays</t>
  </si>
  <si>
    <t>Change</t>
  </si>
  <si>
    <t>Barc</t>
  </si>
  <si>
    <t>Bred</t>
  </si>
  <si>
    <t>Mar23</t>
  </si>
  <si>
    <t>Fair val</t>
  </si>
  <si>
    <t>Question</t>
  </si>
  <si>
    <t>Basis</t>
  </si>
  <si>
    <t>1rst BASIS</t>
  </si>
  <si>
    <t>To send</t>
  </si>
  <si>
    <t>Jun23</t>
  </si>
  <si>
    <t>BASIS</t>
  </si>
  <si>
    <t>Fair</t>
  </si>
  <si>
    <t>LMR</t>
  </si>
  <si>
    <t xml:space="preserve">Opti </t>
  </si>
  <si>
    <t>Proposed spreads 5E:</t>
  </si>
  <si>
    <t>Proposed spreads CAC:</t>
  </si>
  <si>
    <t xml:space="preserve">Run Alex </t>
  </si>
  <si>
    <t>Opti</t>
  </si>
  <si>
    <t>Philippe, on  CAC TRF</t>
  </si>
  <si>
    <t>Erwin, on CAC TRF</t>
  </si>
  <si>
    <t>BOFA</t>
  </si>
  <si>
    <t>--&gt; Last you were 48 offer</t>
  </si>
  <si>
    <t>--&gt; Last you were 55 offer</t>
  </si>
  <si>
    <t>Nicole</t>
  </si>
  <si>
    <t xml:space="preserve">--&gt; Were would you sell today ? </t>
  </si>
  <si>
    <t>-&gt;   Last you were 25o</t>
  </si>
  <si>
    <t>alex</t>
  </si>
  <si>
    <t>--&gt; last you were 19o</t>
  </si>
  <si>
    <t>--&gt; last you were 24.5o</t>
  </si>
  <si>
    <t>--&gt; last you were 38.5o</t>
  </si>
  <si>
    <t>--&gt; last you were 57b</t>
  </si>
  <si>
    <t>laget</t>
  </si>
  <si>
    <t>5e</t>
  </si>
  <si>
    <t>--&gt; last you were 45o</t>
  </si>
  <si>
    <t>Dec25 29.5/31.5</t>
  </si>
  <si>
    <t>SX5E TRF vs. 0.625</t>
  </si>
  <si>
    <t>Dec23 15.5/17.5</t>
  </si>
  <si>
    <t>Dec24 22/24</t>
  </si>
  <si>
    <t>Dec26 36/38</t>
  </si>
  <si>
    <t>Dec27 42.5/44.5</t>
  </si>
  <si>
    <t>Dec28 50/52</t>
  </si>
  <si>
    <t>Dec29 55/59</t>
  </si>
  <si>
    <t>Dec30 61/65</t>
  </si>
  <si>
    <t>Dec31 69/74</t>
  </si>
  <si>
    <t>Last CAC yesterday:</t>
  </si>
  <si>
    <t>z3 Nicole/nath   z4 mereb offer on   z7/8/9/1 mereb offer</t>
  </si>
  <si>
    <t>{FR} CAC TRF vs 1.5 Dec23 5* / 6*  {g!}</t>
  </si>
  <si>
    <t>{FR} CAC TRF vs 1.5 Dec24 9 / 10.5*</t>
  </si>
  <si>
    <t>{FR} CAC TRF vs 1.5 Dec27 29 / 31*</t>
  </si>
  <si>
    <t>{FR} CAC TRF vs 1.5 Dec28 37 / 39*</t>
  </si>
  <si>
    <t>{FR} CAC TRF vs 1.5 Dec29 44 / 47*</t>
  </si>
  <si>
    <t>{FR} CAC TRF vs 1.5 Dec31 58 / 62*</t>
  </si>
  <si>
    <t>{FR} CAC TRF spread Dec23 fixed at 5.5 vs Dec24 I can PAY 10</t>
  </si>
  <si>
    <t>{FR} CAC TRF spread Dec23 fixed at 6 vs Dec24 I can PAY 10.5</t>
  </si>
  <si>
    <t>CAC Friday: z3 opti / z4-5-9-0 mereb</t>
  </si>
  <si>
    <t>{FR} CAC TRF vs 1.5 Dec23 4 / 6*</t>
  </si>
  <si>
    <t>{FR} CAC TRF vs 1.5 Dec24 10 / 10.5*  {g!}</t>
  </si>
  <si>
    <t>{FR} CAC TRF vs 1.5 Dec25 15 / 17*</t>
  </si>
  <si>
    <t>{FR} CAC TRF vs 1.5 Dec30 51 / 55*</t>
  </si>
  <si>
    <t>Nath</t>
  </si>
  <si>
    <t>Erwin</t>
  </si>
  <si>
    <t>Mereb</t>
  </si>
  <si>
    <t>Salaire normal</t>
  </si>
  <si>
    <t>Salaire novembre</t>
  </si>
  <si>
    <t>Part du salaire en CDD</t>
  </si>
  <si>
    <t>Difference</t>
  </si>
  <si>
    <t>P% de perte</t>
  </si>
  <si>
    <t>Part du salaire en CDD hors cotis</t>
  </si>
  <si>
    <t xml:space="preserve">Salaire quotidien </t>
  </si>
  <si>
    <t>Salaire Decembre (13j de travail)</t>
  </si>
  <si>
    <t>Salaire avec la perte</t>
  </si>
  <si>
    <t>Somme des differences</t>
  </si>
  <si>
    <t xml:space="preserve"> --&gt; last you were 23o</t>
  </si>
  <si>
    <t>--&gt; last you were 16o</t>
  </si>
  <si>
    <t>--&gt; last you were 3b</t>
  </si>
  <si>
    <t>MAX WAS HERE</t>
  </si>
  <si>
    <t>SX5E TRF vs. 4.625</t>
  </si>
  <si>
    <t>Dec-23: 13.5 / 16.5</t>
  </si>
  <si>
    <t>Dec-24: 21 / 23.5</t>
  </si>
  <si>
    <t>Dec-25: 29 / 31</t>
  </si>
  <si>
    <t>SX5E TRF run vs +4.125 Mar</t>
  </si>
  <si>
    <t>Dec23 12/15</t>
  </si>
  <si>
    <t>Dec24 20.5/23.5</t>
  </si>
  <si>
    <t>Dec25 29/32</t>
  </si>
  <si>
    <t>Dec26 36/39</t>
  </si>
  <si>
    <t>Dec27 43.5/46.5</t>
  </si>
  <si>
    <t>Dec28 51.5/54.5</t>
  </si>
  <si>
    <t>Dec29 58/63</t>
  </si>
  <si>
    <t>Dec30 65/70</t>
  </si>
  <si>
    <t>Dec31 73/78</t>
  </si>
  <si>
    <t>Dec-25: 27.5 / 29.5</t>
  </si>
  <si>
    <t>Dec-26: 34 / 36</t>
  </si>
  <si>
    <t>Dec-23: 16 / 18</t>
  </si>
  <si>
    <t>Dec-24: 21.5 / 23.5</t>
  </si>
  <si>
    <t>Dec-27: 41 / 43</t>
  </si>
  <si>
    <t>Dec-28: 48 / 50</t>
  </si>
  <si>
    <t>Dec-29: 55 / 58</t>
  </si>
  <si>
    <t>NATIXIS</t>
  </si>
  <si>
    <t>Dec32</t>
  </si>
  <si>
    <t>SX5E TRF vs. 6</t>
  </si>
  <si>
    <t>Dec-23: 15.5 / 17.5</t>
  </si>
  <si>
    <t>Dec-30: 62 / 66</t>
  </si>
  <si>
    <t>Dec-31: 69.5 / 74.5</t>
  </si>
  <si>
    <t>SX5E TRF vs 6</t>
  </si>
  <si>
    <t>Mar23 -9/0</t>
  </si>
  <si>
    <t>Jun23  43/48</t>
  </si>
  <si>
    <t>Dec23 17/18.5</t>
  </si>
  <si>
    <t>Dec25 27.5/29.5</t>
  </si>
  <si>
    <t>Dec26 34/36</t>
  </si>
  <si>
    <t>Dec27 41/43</t>
  </si>
  <si>
    <t>Dec28 48/51</t>
  </si>
  <si>
    <t>Dec29 55/59.</t>
  </si>
  <si>
    <t>Dec30 63/69</t>
  </si>
  <si>
    <t>Dec31 70/77</t>
  </si>
  <si>
    <t>Dec32 76/83</t>
  </si>
  <si>
    <t>Dec23 16.5/18.5</t>
  </si>
  <si>
    <t>Dec24 21.5/23.5</t>
  </si>
  <si>
    <t>Dec27 40.5/43.5</t>
  </si>
  <si>
    <t>Dec28 48.5/51.5</t>
  </si>
  <si>
    <t>Dec29 55.5/59.5</t>
  </si>
  <si>
    <t>Dec30 63.5/67.5</t>
  </si>
  <si>
    <t>Dec31 70/76</t>
  </si>
  <si>
    <t xml:space="preserve">SX5E TRF run vs +6 </t>
  </si>
  <si>
    <t>Your feedback Nathaniel</t>
  </si>
  <si>
    <t>Dec-24: 21 / 23</t>
  </si>
  <si>
    <t>Nb of trade</t>
  </si>
  <si>
    <t>qty</t>
  </si>
  <si>
    <t>basis</t>
  </si>
  <si>
    <t>06/01/2023 SX5E CC report</t>
  </si>
  <si>
    <t>Dec-30: 60 / 64</t>
  </si>
  <si>
    <t>SX5E TRF vs. 6.125</t>
  </si>
  <si>
    <t>Dec-25: 26.5 / 28.5</t>
  </si>
  <si>
    <t>Dec-26: 33 / 35</t>
  </si>
  <si>
    <t>Dec-27: 39.5 / 41.5</t>
  </si>
  <si>
    <t>Dec-28: 46.5 / 48.5</t>
  </si>
  <si>
    <t>Dec-29: 53.5 / 56.5</t>
  </si>
  <si>
    <t>Dec-31: 66.5 / 72.5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</si>
</sst>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32629"/>
      <name val="Consolas"/>
      <family val="3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5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rgb="FFFF374F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9" fillId="10" borderId="17" applyNumberFormat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3" fillId="0" borderId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3" fillId="0" borderId="0"/>
    <xf numFmtId="0" fontId="13" fillId="0" borderId="0"/>
    <xf numFmtId="0" fontId="13" fillId="0" borderId="0">
      <alignment vertical="center"/>
    </xf>
    <xf numFmtId="0" fontId="17" fillId="12" borderId="0" applyNumberFormat="0" applyBorder="0" applyAlignment="0" applyProtection="0"/>
    <xf numFmtId="0" fontId="18" fillId="13" borderId="35" applyNumberFormat="0" applyAlignment="0" applyProtection="0"/>
  </cellStyleXfs>
  <cellXfs count="162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3" fillId="3" borderId="13" xfId="2" applyBorder="1"/>
    <xf numFmtId="0" fontId="0" fillId="0" borderId="0" xfId="0" applyAlignment="1">
      <alignment horizontal="center" vertical="center"/>
    </xf>
    <xf numFmtId="0" fontId="5" fillId="0" borderId="0" xfId="0" applyFont="1"/>
    <xf numFmtId="0" fontId="4" fillId="0" borderId="10" xfId="0" applyFont="1" applyBorder="1"/>
    <xf numFmtId="0" fontId="0" fillId="0" borderId="14" xfId="0" applyBorder="1"/>
    <xf numFmtId="0" fontId="0" fillId="0" borderId="14" xfId="0" applyBorder="1" applyAlignment="1">
      <alignment horizontal="center" vertical="center"/>
    </xf>
    <xf numFmtId="0" fontId="0" fillId="0" borderId="15" xfId="0" applyBorder="1"/>
    <xf numFmtId="0" fontId="5" fillId="0" borderId="6" xfId="0" applyFont="1" applyBorder="1"/>
    <xf numFmtId="0" fontId="0" fillId="0" borderId="8" xfId="0" applyBorder="1" applyAlignment="1">
      <alignment horizontal="center" vertical="center"/>
    </xf>
    <xf numFmtId="0" fontId="5" fillId="0" borderId="8" xfId="0" applyFont="1" applyBorder="1"/>
    <xf numFmtId="0" fontId="5" fillId="0" borderId="14" xfId="0" applyFont="1" applyBorder="1"/>
    <xf numFmtId="0" fontId="4" fillId="0" borderId="5" xfId="0" applyFont="1" applyBorder="1"/>
    <xf numFmtId="0" fontId="4" fillId="0" borderId="0" xfId="0" applyFont="1"/>
    <xf numFmtId="0" fontId="4" fillId="0" borderId="6" xfId="0" applyFont="1" applyBorder="1"/>
    <xf numFmtId="0" fontId="0" fillId="4" borderId="11" xfId="0" applyFill="1" applyBorder="1"/>
    <xf numFmtId="0" fontId="0" fillId="4" borderId="12" xfId="0" applyFill="1" applyBorder="1"/>
    <xf numFmtId="0" fontId="4" fillId="4" borderId="16" xfId="0" applyFont="1" applyFill="1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5" borderId="2" xfId="3" applyBorder="1" applyAlignment="1">
      <alignment horizontal="center" vertical="center"/>
    </xf>
    <xf numFmtId="0" fontId="6" fillId="5" borderId="4" xfId="3" applyBorder="1" applyAlignment="1">
      <alignment horizontal="center" vertical="center"/>
    </xf>
    <xf numFmtId="0" fontId="4" fillId="0" borderId="7" xfId="0" applyFont="1" applyBorder="1"/>
    <xf numFmtId="0" fontId="4" fillId="7" borderId="2" xfId="0" applyFont="1" applyFill="1" applyBorder="1"/>
    <xf numFmtId="0" fontId="0" fillId="7" borderId="3" xfId="0" applyFill="1" applyBorder="1"/>
    <xf numFmtId="0" fontId="0" fillId="7" borderId="0" xfId="0" applyFill="1"/>
    <xf numFmtId="0" fontId="0" fillId="7" borderId="8" xfId="0" applyFill="1" applyBorder="1"/>
    <xf numFmtId="17" fontId="0" fillId="0" borderId="0" xfId="0" applyNumberFormat="1"/>
    <xf numFmtId="17" fontId="0" fillId="0" borderId="8" xfId="0" applyNumberFormat="1" applyBorder="1"/>
    <xf numFmtId="17" fontId="0" fillId="0" borderId="9" xfId="0" applyNumberFormat="1" applyBorder="1"/>
    <xf numFmtId="0" fontId="3" fillId="3" borderId="13" xfId="2" applyBorder="1" applyProtection="1"/>
    <xf numFmtId="0" fontId="0" fillId="0" borderId="3" xfId="0" applyBorder="1"/>
    <xf numFmtId="0" fontId="0" fillId="0" borderId="4" xfId="0" applyBorder="1"/>
    <xf numFmtId="0" fontId="2" fillId="2" borderId="16" xfId="1" applyBorder="1" applyAlignment="1" applyProtection="1">
      <alignment horizontal="center"/>
    </xf>
    <xf numFmtId="0" fontId="2" fillId="2" borderId="10" xfId="1" applyBorder="1" applyAlignment="1" applyProtection="1">
      <alignment horizontal="center"/>
    </xf>
    <xf numFmtId="0" fontId="0" fillId="0" borderId="10" xfId="0" applyBorder="1"/>
    <xf numFmtId="0" fontId="4" fillId="8" borderId="16" xfId="0" applyFont="1" applyFill="1" applyBorder="1"/>
    <xf numFmtId="0" fontId="0" fillId="7" borderId="4" xfId="0" applyFill="1" applyBorder="1"/>
    <xf numFmtId="0" fontId="0" fillId="0" borderId="19" xfId="0" applyBorder="1"/>
    <xf numFmtId="0" fontId="10" fillId="5" borderId="16" xfId="3" applyFont="1" applyBorder="1" applyAlignment="1">
      <alignment horizontal="center" vertical="center"/>
    </xf>
    <xf numFmtId="0" fontId="9" fillId="10" borderId="18" xfId="5" applyBorder="1" applyAlignment="1">
      <alignment horizontal="center" vertical="center"/>
    </xf>
    <xf numFmtId="0" fontId="11" fillId="2" borderId="16" xfId="1" applyFont="1" applyBorder="1" applyAlignment="1">
      <alignment horizontal="center" vertical="center"/>
    </xf>
    <xf numFmtId="0" fontId="4" fillId="9" borderId="16" xfId="1" applyFont="1" applyFill="1" applyBorder="1" applyAlignment="1">
      <alignment horizontal="center" vertical="center"/>
    </xf>
    <xf numFmtId="0" fontId="4" fillId="11" borderId="16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2" fillId="3" borderId="13" xfId="2" applyFont="1" applyBorder="1" applyProtection="1"/>
    <xf numFmtId="0" fontId="11" fillId="2" borderId="16" xfId="1" applyFont="1" applyBorder="1"/>
    <xf numFmtId="49" fontId="4" fillId="0" borderId="5" xfId="0" applyNumberFormat="1" applyFont="1" applyBorder="1"/>
    <xf numFmtId="0" fontId="1" fillId="6" borderId="2" xfId="4" applyBorder="1" applyAlignment="1"/>
    <xf numFmtId="0" fontId="1" fillId="6" borderId="4" xfId="4" applyBorder="1" applyAlignment="1"/>
    <xf numFmtId="22" fontId="1" fillId="6" borderId="3" xfId="4" applyNumberFormat="1" applyBorder="1" applyAlignment="1"/>
    <xf numFmtId="0" fontId="4" fillId="0" borderId="5" xfId="0" quotePrefix="1" applyFont="1" applyBorder="1"/>
    <xf numFmtId="17" fontId="4" fillId="0" borderId="5" xfId="0" quotePrefix="1" applyNumberFormat="1" applyFont="1" applyBorder="1"/>
    <xf numFmtId="0" fontId="0" fillId="0" borderId="0" xfId="0" applyAlignment="1">
      <alignment horizontal="left"/>
    </xf>
    <xf numFmtId="49" fontId="4" fillId="0" borderId="5" xfId="0" quotePrefix="1" applyNumberFormat="1" applyFont="1" applyBorder="1"/>
    <xf numFmtId="0" fontId="4" fillId="0" borderId="20" xfId="0" applyFont="1" applyBorder="1"/>
    <xf numFmtId="0" fontId="4" fillId="0" borderId="21" xfId="0" applyFont="1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2" borderId="22" xfId="1" applyFont="1" applyBorder="1"/>
    <xf numFmtId="17" fontId="0" fillId="0" borderId="0" xfId="0" quotePrefix="1" applyNumberFormat="1"/>
    <xf numFmtId="0" fontId="0" fillId="0" borderId="0" xfId="0" quotePrefix="1"/>
    <xf numFmtId="0" fontId="4" fillId="0" borderId="11" xfId="0" applyFont="1" applyBorder="1"/>
    <xf numFmtId="0" fontId="4" fillId="0" borderId="28" xfId="0" applyFont="1" applyBorder="1"/>
    <xf numFmtId="0" fontId="0" fillId="0" borderId="28" xfId="0" applyBorder="1"/>
    <xf numFmtId="0" fontId="11" fillId="2" borderId="29" xfId="1" applyFont="1" applyBorder="1"/>
    <xf numFmtId="0" fontId="0" fillId="0" borderId="19" xfId="0" applyBorder="1" applyAlignment="1">
      <alignment horizontal="center" vertical="center"/>
    </xf>
    <xf numFmtId="0" fontId="0" fillId="0" borderId="20" xfId="0" applyBorder="1"/>
    <xf numFmtId="0" fontId="14" fillId="0" borderId="21" xfId="0" applyFont="1" applyBorder="1"/>
    <xf numFmtId="0" fontId="0" fillId="0" borderId="22" xfId="0" applyBorder="1"/>
    <xf numFmtId="0" fontId="1" fillId="6" borderId="31" xfId="4" applyBorder="1" applyAlignment="1"/>
    <xf numFmtId="17" fontId="4" fillId="0" borderId="23" xfId="0" quotePrefix="1" applyNumberFormat="1" applyFont="1" applyBorder="1"/>
    <xf numFmtId="0" fontId="4" fillId="0" borderId="23" xfId="0" applyFont="1" applyBorder="1"/>
    <xf numFmtId="0" fontId="4" fillId="0" borderId="25" xfId="0" applyFont="1" applyBorder="1"/>
    <xf numFmtId="0" fontId="0" fillId="0" borderId="32" xfId="0" applyBorder="1"/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5" fillId="0" borderId="20" xfId="0" applyFont="1" applyBorder="1"/>
    <xf numFmtId="0" fontId="16" fillId="0" borderId="21" xfId="0" applyFont="1" applyBorder="1"/>
    <xf numFmtId="0" fontId="4" fillId="0" borderId="30" xfId="0" applyFont="1" applyBorder="1"/>
    <xf numFmtId="0" fontId="0" fillId="0" borderId="34" xfId="0" applyBorder="1"/>
    <xf numFmtId="0" fontId="17" fillId="12" borderId="30" xfId="40" applyBorder="1"/>
    <xf numFmtId="0" fontId="1" fillId="0" borderId="0" xfId="36"/>
    <xf numFmtId="0" fontId="1" fillId="7" borderId="0" xfId="36" applyFill="1"/>
    <xf numFmtId="0" fontId="1" fillId="7" borderId="3" xfId="36" applyFill="1" applyBorder="1"/>
    <xf numFmtId="0" fontId="18" fillId="13" borderId="35" xfId="41"/>
    <xf numFmtId="0" fontId="0" fillId="0" borderId="36" xfId="0" applyBorder="1"/>
    <xf numFmtId="0" fontId="0" fillId="0" borderId="37" xfId="0" applyBorder="1"/>
    <xf numFmtId="0" fontId="4" fillId="0" borderId="0" xfId="0" applyFont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12" fillId="3" borderId="38" xfId="2" applyFont="1" applyBorder="1" applyProtection="1"/>
    <xf numFmtId="0" fontId="11" fillId="2" borderId="39" xfId="1" applyFont="1" applyBorder="1"/>
    <xf numFmtId="0" fontId="0" fillId="7" borderId="23" xfId="0" applyFill="1" applyBorder="1"/>
    <xf numFmtId="0" fontId="0" fillId="0" borderId="40" xfId="0" applyBorder="1"/>
    <xf numFmtId="0" fontId="0" fillId="7" borderId="25" xfId="0" applyFill="1" applyBorder="1"/>
    <xf numFmtId="0" fontId="0" fillId="0" borderId="41" xfId="0" applyBorder="1"/>
    <xf numFmtId="0" fontId="0" fillId="7" borderId="20" xfId="0" applyFill="1" applyBorder="1"/>
    <xf numFmtId="0" fontId="0" fillId="0" borderId="42" xfId="0" applyBorder="1"/>
    <xf numFmtId="0" fontId="0" fillId="0" borderId="24" xfId="0" applyBorder="1" applyAlignment="1">
      <alignment horizontal="center" vertical="center"/>
    </xf>
    <xf numFmtId="0" fontId="4" fillId="0" borderId="45" xfId="0" applyFont="1" applyBorder="1"/>
    <xf numFmtId="0" fontId="0" fillId="0" borderId="21" xfId="0" applyBorder="1" applyAlignment="1">
      <alignment horizontal="center" vertical="center"/>
    </xf>
    <xf numFmtId="0" fontId="5" fillId="0" borderId="21" xfId="0" applyFont="1" applyBorder="1"/>
    <xf numFmtId="0" fontId="4" fillId="0" borderId="24" xfId="0" applyFont="1" applyBorder="1"/>
    <xf numFmtId="0" fontId="0" fillId="0" borderId="26" xfId="0" applyBorder="1" applyAlignment="1">
      <alignment horizontal="center" vertical="center"/>
    </xf>
    <xf numFmtId="0" fontId="5" fillId="0" borderId="24" xfId="0" applyFont="1" applyBorder="1"/>
    <xf numFmtId="0" fontId="5" fillId="0" borderId="26" xfId="0" applyFont="1" applyBorder="1"/>
    <xf numFmtId="0" fontId="2" fillId="2" borderId="4" xfId="1" applyBorder="1" applyAlignment="1" applyProtection="1">
      <alignment horizontal="center"/>
    </xf>
    <xf numFmtId="0" fontId="0" fillId="7" borderId="26" xfId="0" applyFill="1" applyBorder="1"/>
    <xf numFmtId="17" fontId="0" fillId="0" borderId="26" xfId="0" applyNumberFormat="1" applyBorder="1"/>
    <xf numFmtId="0" fontId="0" fillId="0" borderId="29" xfId="0" applyBorder="1"/>
    <xf numFmtId="0" fontId="4" fillId="7" borderId="46" xfId="0" applyFont="1" applyFill="1" applyBorder="1"/>
    <xf numFmtId="0" fontId="0" fillId="7" borderId="28" xfId="0" applyFill="1" applyBorder="1"/>
    <xf numFmtId="0" fontId="3" fillId="3" borderId="47" xfId="2" applyBorder="1" applyProtection="1"/>
    <xf numFmtId="0" fontId="0" fillId="0" borderId="49" xfId="0" applyBorder="1"/>
    <xf numFmtId="0" fontId="2" fillId="2" borderId="19" xfId="1" applyBorder="1" applyAlignment="1" applyProtection="1">
      <alignment horizontal="center"/>
    </xf>
    <xf numFmtId="0" fontId="4" fillId="0" borderId="34" xfId="0" applyFont="1" applyBorder="1"/>
    <xf numFmtId="0" fontId="3" fillId="3" borderId="10" xfId="2" applyBorder="1" applyProtection="1"/>
    <xf numFmtId="0" fontId="8" fillId="9" borderId="0" xfId="1" applyFont="1" applyFill="1" applyAlignment="1">
      <alignment horizontal="center" vertical="center"/>
    </xf>
    <xf numFmtId="0" fontId="1" fillId="6" borderId="2" xfId="4" applyBorder="1" applyAlignment="1">
      <alignment horizontal="center"/>
    </xf>
    <xf numFmtId="0" fontId="1" fillId="6" borderId="3" xfId="4" applyBorder="1" applyAlignment="1">
      <alignment horizontal="center"/>
    </xf>
    <xf numFmtId="0" fontId="1" fillId="6" borderId="4" xfId="4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" xfId="0" quotePrefix="1" applyFont="1" applyBorder="1" applyAlignment="1">
      <alignment horizontal="center"/>
    </xf>
    <xf numFmtId="0" fontId="0" fillId="14" borderId="0" xfId="0" applyFill="1" applyAlignment="1">
      <alignment horizontal="center"/>
    </xf>
    <xf numFmtId="0" fontId="4" fillId="0" borderId="7" xfId="0" quotePrefix="1" applyFont="1" applyBorder="1"/>
    <xf numFmtId="0" fontId="0" fillId="0" borderId="0" xfId="0" applyBorder="1"/>
    <xf numFmtId="0" fontId="0" fillId="0" borderId="50" xfId="0" applyBorder="1"/>
    <xf numFmtId="17" fontId="4" fillId="0" borderId="25" xfId="0" quotePrefix="1" applyNumberFormat="1" applyFont="1" applyBorder="1" applyAlignment="1">
      <alignment horizontal="left" wrapText="1"/>
    </xf>
    <xf numFmtId="0" fontId="0" fillId="0" borderId="50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" fillId="6" borderId="43" xfId="4" applyFont="1" applyBorder="1" applyAlignment="1"/>
    <xf numFmtId="22" fontId="4" fillId="6" borderId="51" xfId="4" applyNumberFormat="1" applyFont="1" applyBorder="1" applyAlignment="1"/>
    <xf numFmtId="0" fontId="4" fillId="6" borderId="44" xfId="4" applyFont="1" applyBorder="1" applyAlignment="1"/>
    <xf numFmtId="0" fontId="10" fillId="5" borderId="51" xfId="3" applyFont="1" applyBorder="1" applyAlignment="1">
      <alignment horizontal="center" vertical="center"/>
    </xf>
    <xf numFmtId="0" fontId="10" fillId="5" borderId="44" xfId="3" applyFont="1" applyBorder="1" applyAlignment="1">
      <alignment horizontal="center" vertical="center"/>
    </xf>
    <xf numFmtId="0" fontId="12" fillId="3" borderId="48" xfId="2" applyFont="1" applyBorder="1"/>
    <xf numFmtId="0" fontId="12" fillId="3" borderId="36" xfId="2" applyFont="1" applyBorder="1"/>
    <xf numFmtId="0" fontId="4" fillId="14" borderId="16" xfId="0" applyFont="1" applyFill="1" applyBorder="1"/>
    <xf numFmtId="0" fontId="20" fillId="14" borderId="11" xfId="0" applyFont="1" applyFill="1" applyBorder="1"/>
    <xf numFmtId="0" fontId="4" fillId="0" borderId="0" xfId="0" applyFont="1"/>
  </cellXfs>
  <cellStyles count="42">
    <cellStyle name="20% - Accent6" xfId="4" builtinId="50"/>
    <cellStyle name="Bad" xfId="3" builtinId="27"/>
    <cellStyle name="Check Cell" xfId="5" builtinId="23"/>
    <cellStyle name="Comma 14" xfId="6" xr:uid="{A696EE36-F156-4C21-9D04-579FA7BF933A}"/>
    <cellStyle name="Comma 2" xfId="7" xr:uid="{60C9E425-1E7E-452E-990C-C65BCA5A6875}"/>
    <cellStyle name="Comma 2 11" xfId="8" xr:uid="{0CB552D9-7917-44EC-8B59-7929D076891C}"/>
    <cellStyle name="Comma 2 2" xfId="9" xr:uid="{25E72B83-56A6-4D73-8087-023735E9A788}"/>
    <cellStyle name="Comma 2 2 2 2" xfId="10" xr:uid="{C84B3F80-BBA2-436D-9CD3-552826FFC278}"/>
    <cellStyle name="Comma 2 2 3" xfId="11" xr:uid="{0722EBAD-22C5-4F8B-8A7D-736E62A96816}"/>
    <cellStyle name="Comma 3" xfId="12" xr:uid="{0614AA2F-2F90-472D-A786-B2B2C2F45743}"/>
    <cellStyle name="Good" xfId="1" builtinId="26"/>
    <cellStyle name="Input" xfId="2" builtinId="20"/>
    <cellStyle name="Neutral" xfId="40" builtinId="28"/>
    <cellStyle name="Normal" xfId="0" builtinId="0"/>
    <cellStyle name="Normal 10 2 2" xfId="13" xr:uid="{1FF4D057-49C0-47C7-9CA0-BEA35DCA1274}"/>
    <cellStyle name="Normal 19" xfId="14" xr:uid="{96705F6B-5F5F-417E-BA0F-8AF7997B845B}"/>
    <cellStyle name="Normal 19 2" xfId="15" xr:uid="{F7237D2D-E995-4633-9B3E-C9085C44C425}"/>
    <cellStyle name="Normal 2" xfId="16" xr:uid="{718499C7-CB25-46F6-8EB3-90AC5966916B}"/>
    <cellStyle name="Normal 26" xfId="17" xr:uid="{9D51DDDD-62BD-4A84-AE5D-F1EA71B5E9B0}"/>
    <cellStyle name="Normal 28" xfId="18" xr:uid="{A1687C5B-2BDC-412C-B423-AAEBDB5D0A1D}"/>
    <cellStyle name="Normal 3" xfId="19" xr:uid="{A25817C8-5750-4B14-BC1C-EDEA3451FDDF}"/>
    <cellStyle name="Normal 3 3" xfId="20" xr:uid="{5B5696EE-0A86-4DC8-B82E-EC3FD92BBF70}"/>
    <cellStyle name="Normal 30" xfId="21" xr:uid="{B8781B6F-7D18-40C3-B637-3C0E225D8390}"/>
    <cellStyle name="Normal 31" xfId="22" xr:uid="{9451F5F2-561C-48F6-8EFC-D6A7AECD8CD8}"/>
    <cellStyle name="Normal 32" xfId="23" xr:uid="{431C0C99-B6E8-4710-B51E-AF9CF96DE8C2}"/>
    <cellStyle name="Normal 33" xfId="24" xr:uid="{41009A18-FF2D-4357-8359-DA92BD7B259F}"/>
    <cellStyle name="Normal 34" xfId="25" xr:uid="{CB2F67A0-6740-4846-BB11-D37477F49684}"/>
    <cellStyle name="Normal 35" xfId="26" xr:uid="{BB07182F-37B3-4BE4-8DB1-C0F5C95F71C7}"/>
    <cellStyle name="Normal 36" xfId="27" xr:uid="{B0E782AB-95FC-46C5-A6D7-B1B34F90A030}"/>
    <cellStyle name="Normal 37" xfId="28" xr:uid="{1A5CDC95-DADF-448D-98D5-EA07401023AA}"/>
    <cellStyle name="Normal 4" xfId="29" xr:uid="{B4FE07FF-3770-4750-B3CB-0A72A653B607}"/>
    <cellStyle name="Normal 40" xfId="30" xr:uid="{EE316593-5A78-4392-9774-9EA927021C24}"/>
    <cellStyle name="Normal 42" xfId="31" xr:uid="{3896D3C1-4FB6-4D4E-82B4-BC78C20FF58C}"/>
    <cellStyle name="Normal 43" xfId="32" xr:uid="{5DCA756F-3C60-4B92-A1F4-7EA3536C564A}"/>
    <cellStyle name="Normal 44" xfId="33" xr:uid="{C7ADC7D1-4994-4B7D-AD2A-4773099FAC7B}"/>
    <cellStyle name="Normal 45" xfId="34" xr:uid="{631CD030-0E65-4597-A758-ECFC8E6FC0AF}"/>
    <cellStyle name="Normal 47" xfId="35" xr:uid="{309A6FF7-9E72-4BE3-980C-342A9AC85167}"/>
    <cellStyle name="Normal 5" xfId="36" xr:uid="{219A6DD9-35DC-43E8-8E46-B067A54C60C2}"/>
    <cellStyle name="Normal 50" xfId="37" xr:uid="{F970C303-C72A-42B1-9E77-8262E5A6DDF0}"/>
    <cellStyle name="Normal 51" xfId="38" xr:uid="{771E6F32-89BB-46A1-A5E9-F0A44EEB0B91}"/>
    <cellStyle name="Normal 7" xfId="39" xr:uid="{AC139E48-B83A-4BEA-B98A-00258FFBFDDA}"/>
    <cellStyle name="Output" xfId="41" builtinId="2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5050"/>
      <color rgb="FFFF37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4017.83</v>
        <stp/>
        <stp>##V3_BDPV12</stp>
        <stp>SX5E Index</stp>
        <stp>Last_price</stp>
        <stp>[TRF MAXI BEST OF.xlsm]TRF SX5E other basis!R2C15</stp>
        <tr r="O2" s="10"/>
      </tp>
    </main>
    <main first="bloomberg.rtd">
      <tp>
        <v>4027</v>
        <stp/>
        <stp>##V3_BDPV12</stp>
        <stp>VGA INDEX</stp>
        <stp>Last_price</stp>
        <stp>[TRF MAXI BEST OF.xlsm]TRF SX5E!R3C16</stp>
        <tr r="P3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142875</xdr:colOff>
          <xdr:row>17</xdr:row>
          <xdr:rowOff>28575</xdr:rowOff>
        </xdr:from>
        <xdr:to>
          <xdr:col>17</xdr:col>
          <xdr:colOff>1219200</xdr:colOff>
          <xdr:row>20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nous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21</xdr:row>
          <xdr:rowOff>57150</xdr:rowOff>
        </xdr:from>
        <xdr:to>
          <xdr:col>17</xdr:col>
          <xdr:colOff>1190625</xdr:colOff>
          <xdr:row>24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eux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25</xdr:row>
          <xdr:rowOff>95250</xdr:rowOff>
        </xdr:from>
        <xdr:to>
          <xdr:col>17</xdr:col>
          <xdr:colOff>1200150</xdr:colOff>
          <xdr:row>28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demarcher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1104900</xdr:colOff>
          <xdr:row>24</xdr:row>
          <xdr:rowOff>114300</xdr:rowOff>
        </xdr:from>
        <xdr:to>
          <xdr:col>46</xdr:col>
          <xdr:colOff>47625</xdr:colOff>
          <xdr:row>27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14</xdr:row>
          <xdr:rowOff>114300</xdr:rowOff>
        </xdr:from>
        <xdr:to>
          <xdr:col>17</xdr:col>
          <xdr:colOff>285750</xdr:colOff>
          <xdr:row>17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nous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390525</xdr:colOff>
          <xdr:row>18</xdr:row>
          <xdr:rowOff>28575</xdr:rowOff>
        </xdr:from>
        <xdr:to>
          <xdr:col>17</xdr:col>
          <xdr:colOff>266700</xdr:colOff>
          <xdr:row>21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eux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22</xdr:row>
          <xdr:rowOff>47625</xdr:rowOff>
        </xdr:from>
        <xdr:to>
          <xdr:col>17</xdr:col>
          <xdr:colOff>285750</xdr:colOff>
          <xdr:row>25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demarcher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981075</xdr:colOff>
          <xdr:row>18</xdr:row>
          <xdr:rowOff>85725</xdr:rowOff>
        </xdr:from>
        <xdr:to>
          <xdr:col>18</xdr:col>
          <xdr:colOff>66675</xdr:colOff>
          <xdr:row>21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1076325</xdr:colOff>
          <xdr:row>16</xdr:row>
          <xdr:rowOff>57150</xdr:rowOff>
        </xdr:from>
        <xdr:to>
          <xdr:col>17</xdr:col>
          <xdr:colOff>933450</xdr:colOff>
          <xdr:row>19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nous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1066800</xdr:colOff>
          <xdr:row>20</xdr:row>
          <xdr:rowOff>76200</xdr:rowOff>
        </xdr:from>
        <xdr:to>
          <xdr:col>17</xdr:col>
          <xdr:colOff>933450</xdr:colOff>
          <xdr:row>23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eux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1181100</xdr:colOff>
          <xdr:row>19</xdr:row>
          <xdr:rowOff>0</xdr:rowOff>
        </xdr:from>
        <xdr:to>
          <xdr:col>18</xdr:col>
          <xdr:colOff>152400</xdr:colOff>
          <xdr:row>21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demarcher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1095375</xdr:colOff>
          <xdr:row>16</xdr:row>
          <xdr:rowOff>38100</xdr:rowOff>
        </xdr:from>
        <xdr:to>
          <xdr:col>18</xdr:col>
          <xdr:colOff>171450</xdr:colOff>
          <xdr:row>18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16</xdr:row>
          <xdr:rowOff>28575</xdr:rowOff>
        </xdr:from>
        <xdr:to>
          <xdr:col>16</xdr:col>
          <xdr:colOff>1219200</xdr:colOff>
          <xdr:row>19</xdr:row>
          <xdr:rowOff>85725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nous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20</xdr:row>
          <xdr:rowOff>57150</xdr:rowOff>
        </xdr:from>
        <xdr:to>
          <xdr:col>16</xdr:col>
          <xdr:colOff>1190625</xdr:colOff>
          <xdr:row>23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eux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24</xdr:row>
          <xdr:rowOff>95250</xdr:rowOff>
        </xdr:from>
        <xdr:to>
          <xdr:col>16</xdr:col>
          <xdr:colOff>1200150</xdr:colOff>
          <xdr:row>27</xdr:row>
          <xdr:rowOff>66675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Pour demarcher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1104900</xdr:colOff>
          <xdr:row>23</xdr:row>
          <xdr:rowOff>114300</xdr:rowOff>
        </xdr:from>
        <xdr:to>
          <xdr:col>43</xdr:col>
          <xdr:colOff>47625</xdr:colOff>
          <xdr:row>26</xdr:row>
          <xdr:rowOff>38100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4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3E395-9500-42DF-8018-B68CE2A2E887}">
  <sheetPr codeName="Sheet6"/>
  <dimension ref="A1:O40"/>
  <sheetViews>
    <sheetView workbookViewId="0">
      <selection activeCell="J20" sqref="J20"/>
    </sheetView>
  </sheetViews>
  <sheetFormatPr defaultRowHeight="15" outlineLevelCol="2" x14ac:dyDescent="0.25"/>
  <cols>
    <col min="1" max="1" width="29.85546875" customWidth="1"/>
    <col min="4" max="4" width="19" customWidth="1"/>
    <col min="5" max="5" width="18.140625" bestFit="1" customWidth="1"/>
    <col min="6" max="6" width="6.85546875" hidden="1" customWidth="1" outlineLevel="2"/>
    <col min="7" max="7" width="6.7109375" hidden="1" customWidth="1" outlineLevel="2"/>
    <col min="8" max="8" width="6.85546875" customWidth="1" outlineLevel="1" collapsed="1"/>
    <col min="9" max="9" width="9.28515625" customWidth="1"/>
    <col min="10" max="10" width="39.140625" customWidth="1"/>
    <col min="11" max="11" width="4.7109375" customWidth="1" outlineLevel="1"/>
    <col min="12" max="12" width="5.42578125" customWidth="1" outlineLevel="1"/>
    <col min="13" max="13" width="101.5703125" customWidth="1"/>
    <col min="14" max="15" width="9.140625" customWidth="1" outlineLevel="1"/>
  </cols>
  <sheetData>
    <row r="1" spans="1:13" ht="21.75" thickBot="1" x14ac:dyDescent="0.4">
      <c r="A1" s="74" t="s">
        <v>43</v>
      </c>
    </row>
    <row r="2" spans="1:13" ht="18.75" x14ac:dyDescent="0.3">
      <c r="A2" s="58" t="e">
        <f>#REF!</f>
        <v>#REF!</v>
      </c>
      <c r="B2" s="60" t="e">
        <f>#REF!</f>
        <v>#REF!</v>
      </c>
      <c r="C2" s="59" t="e">
        <f>#REF!</f>
        <v>#REF!</v>
      </c>
      <c r="D2" s="29" t="e">
        <f>#REF!</f>
        <v>#REF!</v>
      </c>
      <c r="E2" s="30" t="e">
        <f>#REF!</f>
        <v>#REF!</v>
      </c>
      <c r="I2" s="73" t="s">
        <v>42</v>
      </c>
      <c r="J2" s="65" t="s">
        <v>40</v>
      </c>
      <c r="K2" s="66" t="s">
        <v>41</v>
      </c>
      <c r="L2" s="67"/>
      <c r="M2" s="76" t="s">
        <v>44</v>
      </c>
    </row>
    <row r="3" spans="1:13" ht="18.75" x14ac:dyDescent="0.3">
      <c r="A3" s="64" t="e">
        <f>#REF!</f>
        <v>#REF!</v>
      </c>
      <c r="B3" t="e">
        <f>#REF!</f>
        <v>#REF!</v>
      </c>
      <c r="C3" s="2" t="e">
        <f>#REF!</f>
        <v>#REF!</v>
      </c>
      <c r="D3" s="25" t="e">
        <f>#REF!</f>
        <v>#REF!</v>
      </c>
      <c r="E3" s="26" t="e">
        <f>#REF!</f>
        <v>#REF!</v>
      </c>
      <c r="F3" t="str">
        <f>IFERROR(RIGHT(SUBSTITUTE(SUBSTITUTE(D3,")",""),"(",""),LEN(SUBSTITUTE(SUBSTITUTE(D3,")",""),"(",""))-SEARCH(" ",SUBSTITUTE(SUBSTITUTE(D3,")",""),"(",""))),"")</f>
        <v/>
      </c>
      <c r="G3" t="str">
        <f>IFERROR(RIGHT(SUBSTITUTE(SUBSTITUTE(E3,")",""),"(",""),LEN(SUBSTITUTE(SUBSTITUTE(E3,")",""),"(",""))-SEARCH(" ",SUBSTITUTE(SUBSTITUTE(E3,")",""),"(",""))),"")</f>
        <v/>
      </c>
      <c r="H3" t="e">
        <f>IF(_xlfn.NUMBERVALUE(LEFT(D3,1))=_xlfn.NUMBERVALUE(LEFT(E3,1)),"",IF(_xlfn.NUMBERVALUE(LEFT(D3,1))&lt;_xlfn.NUMBERVALUE(LEFT(E3,1)),F3,IF(_xlfn.NUMBERVALUE(LEFT(D3,1))&gt;_xlfn.NUMBERVALUE(LEFT(E3,1)),G3,"")))</f>
        <v>#REF!</v>
      </c>
      <c r="I3" s="75" t="e">
        <f>RIGHT(A2,LEN(A2)-FIND("vs",A2)-1)</f>
        <v>#REF!</v>
      </c>
      <c r="J3" s="68"/>
      <c r="M3" s="69" t="str">
        <f>IF(K3&lt;&gt;"","SX5E TRF vs "&amp;$I$3&amp;" "&amp;B3&amp;" / " &amp;C3 &amp;", " &amp;K3,"")</f>
        <v/>
      </c>
    </row>
    <row r="4" spans="1:13" x14ac:dyDescent="0.25">
      <c r="A4" s="64" t="e">
        <f>#REF!</f>
        <v>#REF!</v>
      </c>
      <c r="B4" t="e">
        <f>#REF!</f>
        <v>#REF!</v>
      </c>
      <c r="C4" s="2" t="e">
        <f>#REF!</f>
        <v>#REF!</v>
      </c>
      <c r="D4" s="25" t="e">
        <f>#REF!</f>
        <v>#REF!</v>
      </c>
      <c r="E4" s="26" t="e">
        <f>#REF!</f>
        <v>#REF!</v>
      </c>
      <c r="F4" t="str">
        <f t="shared" ref="F4:F13" si="0">IFERROR(RIGHT(SUBSTITUTE(SUBSTITUTE(D4,")",""),"(",""),LEN(SUBSTITUTE(SUBSTITUTE(D4,")",""),"(",""))-SEARCH(" ",SUBSTITUTE(SUBSTITUTE(D4,")",""),"(",""))),"")</f>
        <v/>
      </c>
      <c r="G4" t="str">
        <f t="shared" ref="G4:G13" si="1">IFERROR(RIGHT(SUBSTITUTE(SUBSTITUTE(E4,")",""),"(",""),LEN(SUBSTITUTE(SUBSTITUTE(E4,")",""),"(",""))-SEARCH(" ",SUBSTITUTE(SUBSTITUTE(E4,")",""),"(",""))),"")</f>
        <v/>
      </c>
      <c r="H4" t="e">
        <f>IF(_xlfn.NUMBERVALUE(LEFT(D4,1))=_xlfn.NUMBERVALUE(LEFT(E4,1)),"",IF(_xlfn.NUMBERVALUE(LEFT(D4,1))&lt;_xlfn.NUMBERVALUE(LEFT(E4,1)),F4,IF(_xlfn.NUMBERVALUE(LEFT(D4,1))&gt;_xlfn.NUMBERVALUE(LEFT(E4,1)),G4,"")))</f>
        <v>#REF!</v>
      </c>
      <c r="J4" s="68"/>
      <c r="M4" s="69" t="str">
        <f t="shared" ref="M4:M13" si="2">IF(K4&lt;&gt;"","SEND TO " &amp;H4&amp;" --&gt; SX5E TRF vs"&amp;$I$3&amp;" "&amp;A4&amp; " " &amp;B4&amp;" / " &amp;C4 &amp;", " &amp;K4&amp; " ?","")</f>
        <v/>
      </c>
    </row>
    <row r="5" spans="1:13" x14ac:dyDescent="0.25">
      <c r="A5" s="19" t="e">
        <f>#REF!</f>
        <v>#REF!</v>
      </c>
      <c r="B5" t="e">
        <f>#REF!</f>
        <v>#REF!</v>
      </c>
      <c r="C5" s="2" t="e">
        <f>#REF!</f>
        <v>#REF!</v>
      </c>
      <c r="D5" s="25" t="e">
        <f>#REF!</f>
        <v>#REF!</v>
      </c>
      <c r="E5" s="26" t="e">
        <f>#REF!</f>
        <v>#REF!</v>
      </c>
      <c r="F5" t="str">
        <f t="shared" si="0"/>
        <v/>
      </c>
      <c r="G5" t="str">
        <f t="shared" si="1"/>
        <v/>
      </c>
      <c r="H5" t="e">
        <f t="shared" ref="H5:H10" si="3">IF(_xlfn.NUMBERVALUE(LEFT(D5,1))=_xlfn.NUMBERVALUE(LEFT(E5,1)),"",IF(_xlfn.NUMBERVALUE(LEFT(D5,1))&lt;_xlfn.NUMBERVALUE(LEFT(E5,1)),F5,IF(_xlfn.NUMBERVALUE(LEFT(D5,1))&gt;_xlfn.NUMBERVALUE(LEFT(E5,1)),G5,"")))</f>
        <v>#REF!</v>
      </c>
      <c r="J5" s="68" t="e">
        <f t="shared" ref="J5:J13" si="4">MROUND((B5*_xlfn.NUMBERVALUE(LEFT(E5,1))+C5*_xlfn.NUMBERVALUE(LEFT(D5,1)))/(_xlfn.NUMBERVALUE(LEFT(D5,1))+_xlfn.NUMBERVALUE(LEFT(E5,1))),0.25)</f>
        <v>#REF!</v>
      </c>
      <c r="K5" t="e">
        <f t="shared" ref="K5:K13" si="5">IF(_xlfn.NUMBERVALUE(LEFT(E5,1))=_xlfn.NUMBERVALUE(LEFT(D5,1)),"",IF(_xlfn.NUMBERVALUE(LEFT(E5,1))&gt;_xlfn.NUMBERVALUE(LEFT(D5,1)),"would you buy " &amp; J5,IF(_xlfn.NUMBERVALUE(LEFT(E5,1))&lt;_xlfn.NUMBERVALUE(LEFT(D5,1)),"would you sell " &amp; J5,"")))</f>
        <v>#REF!</v>
      </c>
      <c r="M5" s="69" t="e">
        <f t="shared" si="2"/>
        <v>#REF!</v>
      </c>
    </row>
    <row r="6" spans="1:13" x14ac:dyDescent="0.25">
      <c r="A6" s="19" t="e">
        <f>#REF!</f>
        <v>#REF!</v>
      </c>
      <c r="B6" t="e">
        <f>#REF!</f>
        <v>#REF!</v>
      </c>
      <c r="C6" s="2" t="e">
        <f>#REF!</f>
        <v>#REF!</v>
      </c>
      <c r="D6" s="25" t="e">
        <f>#REF!</f>
        <v>#REF!</v>
      </c>
      <c r="E6" s="26" t="e">
        <f>#REF!</f>
        <v>#REF!</v>
      </c>
      <c r="F6" t="str">
        <f t="shared" si="0"/>
        <v/>
      </c>
      <c r="G6" t="str">
        <f t="shared" si="1"/>
        <v/>
      </c>
      <c r="H6" t="e">
        <f t="shared" si="3"/>
        <v>#REF!</v>
      </c>
      <c r="J6" s="68" t="e">
        <f t="shared" si="4"/>
        <v>#REF!</v>
      </c>
      <c r="K6" t="e">
        <f t="shared" si="5"/>
        <v>#REF!</v>
      </c>
      <c r="M6" s="69" t="e">
        <f t="shared" si="2"/>
        <v>#REF!</v>
      </c>
    </row>
    <row r="7" spans="1:13" x14ac:dyDescent="0.25">
      <c r="A7" s="19" t="e">
        <f>#REF!</f>
        <v>#REF!</v>
      </c>
      <c r="B7" t="e">
        <f>#REF!</f>
        <v>#REF!</v>
      </c>
      <c r="C7" s="2" t="e">
        <f>#REF!</f>
        <v>#REF!</v>
      </c>
      <c r="D7" s="25" t="e">
        <f>#REF!</f>
        <v>#REF!</v>
      </c>
      <c r="E7" s="26" t="e">
        <f>#REF!</f>
        <v>#REF!</v>
      </c>
      <c r="F7" t="str">
        <f t="shared" si="0"/>
        <v/>
      </c>
      <c r="G7" t="str">
        <f t="shared" si="1"/>
        <v/>
      </c>
      <c r="H7" t="e">
        <f t="shared" si="3"/>
        <v>#REF!</v>
      </c>
      <c r="J7" s="68" t="e">
        <f t="shared" si="4"/>
        <v>#REF!</v>
      </c>
      <c r="K7" t="e">
        <f t="shared" si="5"/>
        <v>#REF!</v>
      </c>
      <c r="M7" s="69" t="e">
        <f t="shared" si="2"/>
        <v>#REF!</v>
      </c>
    </row>
    <row r="8" spans="1:13" x14ac:dyDescent="0.25">
      <c r="A8" s="19" t="e">
        <f>#REF!</f>
        <v>#REF!</v>
      </c>
      <c r="B8" t="e">
        <f>#REF!</f>
        <v>#REF!</v>
      </c>
      <c r="C8" s="2" t="e">
        <f>#REF!</f>
        <v>#REF!</v>
      </c>
      <c r="D8" s="25" t="e">
        <f>#REF!</f>
        <v>#REF!</v>
      </c>
      <c r="E8" s="26" t="e">
        <f>#REF!</f>
        <v>#REF!</v>
      </c>
      <c r="F8" t="str">
        <f t="shared" si="0"/>
        <v/>
      </c>
      <c r="G8" t="str">
        <f t="shared" si="1"/>
        <v/>
      </c>
      <c r="H8" t="e">
        <f t="shared" si="3"/>
        <v>#REF!</v>
      </c>
      <c r="J8" s="68" t="e">
        <f t="shared" si="4"/>
        <v>#REF!</v>
      </c>
      <c r="K8" t="e">
        <f t="shared" si="5"/>
        <v>#REF!</v>
      </c>
      <c r="M8" s="69" t="e">
        <f t="shared" si="2"/>
        <v>#REF!</v>
      </c>
    </row>
    <row r="9" spans="1:13" x14ac:dyDescent="0.25">
      <c r="A9" s="19" t="e">
        <f>#REF!</f>
        <v>#REF!</v>
      </c>
      <c r="B9" t="e">
        <f>#REF!</f>
        <v>#REF!</v>
      </c>
      <c r="C9" s="2" t="e">
        <f>#REF!</f>
        <v>#REF!</v>
      </c>
      <c r="D9" s="25" t="e">
        <f>#REF!</f>
        <v>#REF!</v>
      </c>
      <c r="E9" s="26" t="e">
        <f>#REF!</f>
        <v>#REF!</v>
      </c>
      <c r="F9" t="str">
        <f t="shared" si="0"/>
        <v/>
      </c>
      <c r="G9" t="str">
        <f t="shared" si="1"/>
        <v/>
      </c>
      <c r="H9" t="e">
        <f t="shared" si="3"/>
        <v>#REF!</v>
      </c>
      <c r="J9" s="68" t="e">
        <f t="shared" si="4"/>
        <v>#REF!</v>
      </c>
      <c r="K9" t="e">
        <f t="shared" si="5"/>
        <v>#REF!</v>
      </c>
      <c r="M9" s="69" t="e">
        <f t="shared" si="2"/>
        <v>#REF!</v>
      </c>
    </row>
    <row r="10" spans="1:13" x14ac:dyDescent="0.25">
      <c r="A10" s="19" t="e">
        <f>#REF!</f>
        <v>#REF!</v>
      </c>
      <c r="B10" t="e">
        <f>#REF!</f>
        <v>#REF!</v>
      </c>
      <c r="C10" s="2" t="e">
        <f>#REF!</f>
        <v>#REF!</v>
      </c>
      <c r="D10" s="25" t="e">
        <f>#REF!</f>
        <v>#REF!</v>
      </c>
      <c r="E10" s="26" t="e">
        <f>#REF!</f>
        <v>#REF!</v>
      </c>
      <c r="F10" t="str">
        <f t="shared" si="0"/>
        <v/>
      </c>
      <c r="G10" t="str">
        <f t="shared" si="1"/>
        <v/>
      </c>
      <c r="H10" t="e">
        <f t="shared" si="3"/>
        <v>#REF!</v>
      </c>
      <c r="J10" s="68" t="e">
        <f t="shared" si="4"/>
        <v>#REF!</v>
      </c>
      <c r="K10" t="e">
        <f t="shared" si="5"/>
        <v>#REF!</v>
      </c>
      <c r="M10" s="69" t="e">
        <f t="shared" si="2"/>
        <v>#REF!</v>
      </c>
    </row>
    <row r="11" spans="1:13" x14ac:dyDescent="0.25">
      <c r="A11" s="19" t="e">
        <f>#REF!</f>
        <v>#REF!</v>
      </c>
      <c r="B11" t="e">
        <f>#REF!</f>
        <v>#REF!</v>
      </c>
      <c r="C11" s="2" t="e">
        <f>#REF!</f>
        <v>#REF!</v>
      </c>
      <c r="D11" s="25" t="e">
        <f>#REF!</f>
        <v>#REF!</v>
      </c>
      <c r="E11" s="26" t="e">
        <f>#REF!</f>
        <v>#REF!</v>
      </c>
      <c r="F11" t="str">
        <f t="shared" si="0"/>
        <v/>
      </c>
      <c r="G11" t="str">
        <f t="shared" si="1"/>
        <v/>
      </c>
      <c r="H11" t="e">
        <f>IF(_xlfn.NUMBERVALUE(LEFT(D11,1))=_xlfn.NUMBERVALUE(LEFT(E11,1)),"",IF(_xlfn.NUMBERVALUE(LEFT(D11,1))&lt;_xlfn.NUMBERVALUE(LEFT(E11,1)),F11,IF(_xlfn.NUMBERVALUE(LEFT(D11,1))&gt;_xlfn.NUMBERVALUE(LEFT(E11,1)),G11,"")))</f>
        <v>#REF!</v>
      </c>
      <c r="J11" s="68" t="e">
        <f t="shared" si="4"/>
        <v>#REF!</v>
      </c>
      <c r="K11" t="e">
        <f t="shared" si="5"/>
        <v>#REF!</v>
      </c>
      <c r="M11" s="69" t="e">
        <f t="shared" si="2"/>
        <v>#REF!</v>
      </c>
    </row>
    <row r="12" spans="1:13" x14ac:dyDescent="0.25">
      <c r="A12" s="19" t="e">
        <f>#REF!</f>
        <v>#REF!</v>
      </c>
      <c r="B12" t="e">
        <f>#REF!</f>
        <v>#REF!</v>
      </c>
      <c r="C12" s="2" t="e">
        <f>#REF!</f>
        <v>#REF!</v>
      </c>
      <c r="D12" s="25" t="e">
        <f>#REF!</f>
        <v>#REF!</v>
      </c>
      <c r="E12" s="26" t="e">
        <f>#REF!</f>
        <v>#REF!</v>
      </c>
      <c r="F12" t="str">
        <f t="shared" si="0"/>
        <v/>
      </c>
      <c r="G12" t="str">
        <f t="shared" si="1"/>
        <v/>
      </c>
      <c r="H12" t="e">
        <f t="shared" ref="H12:H13" si="6">IF(_xlfn.NUMBERVALUE(LEFT(D12,1))=_xlfn.NUMBERVALUE(LEFT(E12,1)),"",IF(_xlfn.NUMBERVALUE(LEFT(D12,1))&lt;_xlfn.NUMBERVALUE(LEFT(E12,1)),F12,IF(_xlfn.NUMBERVALUE(LEFT(D12,1))&gt;_xlfn.NUMBERVALUE(LEFT(E12,1)),G12,"")))</f>
        <v>#REF!</v>
      </c>
      <c r="J12" s="68" t="e">
        <f t="shared" si="4"/>
        <v>#REF!</v>
      </c>
      <c r="K12" t="e">
        <f t="shared" si="5"/>
        <v>#REF!</v>
      </c>
      <c r="M12" s="69" t="e">
        <f t="shared" si="2"/>
        <v>#REF!</v>
      </c>
    </row>
    <row r="13" spans="1:13" ht="15.75" thickBot="1" x14ac:dyDescent="0.3">
      <c r="A13" s="31" t="e">
        <f>#REF!</f>
        <v>#REF!</v>
      </c>
      <c r="B13" s="4" t="e">
        <f>#REF!</f>
        <v>#REF!</v>
      </c>
      <c r="C13" s="5" t="e">
        <f>#REF!</f>
        <v>#REF!</v>
      </c>
      <c r="D13" s="27" t="e">
        <f>#REF!</f>
        <v>#REF!</v>
      </c>
      <c r="E13" s="28" t="e">
        <f>#REF!</f>
        <v>#REF!</v>
      </c>
      <c r="F13" t="str">
        <f t="shared" si="0"/>
        <v/>
      </c>
      <c r="G13" t="str">
        <f t="shared" si="1"/>
        <v/>
      </c>
      <c r="H13" t="e">
        <f t="shared" si="6"/>
        <v>#REF!</v>
      </c>
      <c r="J13" s="70" t="e">
        <f t="shared" si="4"/>
        <v>#REF!</v>
      </c>
      <c r="K13" s="71" t="e">
        <f t="shared" si="5"/>
        <v>#REF!</v>
      </c>
      <c r="L13" s="71"/>
      <c r="M13" s="72" t="e">
        <f t="shared" si="2"/>
        <v>#REF!</v>
      </c>
    </row>
    <row r="15" spans="1:13" ht="15.75" thickBot="1" x14ac:dyDescent="0.3"/>
    <row r="16" spans="1:13" ht="19.5" thickBot="1" x14ac:dyDescent="0.35">
      <c r="A16" s="84"/>
      <c r="B16" s="67"/>
      <c r="C16" s="67"/>
      <c r="D16" s="67"/>
      <c r="E16" s="85" t="s">
        <v>42</v>
      </c>
      <c r="F16" s="67"/>
      <c r="G16" s="67"/>
      <c r="H16" s="67"/>
      <c r="I16" s="67"/>
      <c r="J16" s="67"/>
      <c r="K16" s="67"/>
      <c r="L16" s="67"/>
      <c r="M16" s="86"/>
    </row>
    <row r="17" spans="1:15" ht="21.75" thickBot="1" x14ac:dyDescent="0.4">
      <c r="A17" s="94" t="s">
        <v>46</v>
      </c>
      <c r="B17" s="67"/>
      <c r="C17" s="67"/>
      <c r="D17" s="67"/>
      <c r="E17" s="95" t="str">
        <f>RIGHT(A18,LEN(A18)-FIND("vs",A18)-1)</f>
        <v xml:space="preserve"> 6.125</v>
      </c>
      <c r="F17" s="67"/>
      <c r="G17" s="67"/>
      <c r="H17" s="67"/>
      <c r="I17" s="67"/>
      <c r="J17" s="96" t="str">
        <f>A18</f>
        <v>Tightest SX5E TRF vs 6.125</v>
      </c>
      <c r="K17" s="80" t="s">
        <v>41</v>
      </c>
      <c r="L17" s="81"/>
      <c r="M17" s="82" t="s">
        <v>44</v>
      </c>
    </row>
    <row r="18" spans="1:15" ht="15.75" thickBot="1" x14ac:dyDescent="0.3">
      <c r="A18" s="87" t="str">
        <f>'TRF SX5E'!N3</f>
        <v>Tightest SX5E TRF vs 6.125</v>
      </c>
      <c r="B18" s="60" t="str">
        <f ca="1">'TRF SX5E'!O3</f>
        <v>17:44:41</v>
      </c>
      <c r="C18" s="59">
        <f>'TRF SX5E'!P3</f>
        <v>4027</v>
      </c>
      <c r="D18" s="29" t="str">
        <f>'TRF SX5E'!Q3</f>
        <v>QtyBid</v>
      </c>
      <c r="E18" s="30" t="str">
        <f>'TRF SX5E'!R3</f>
        <v>QtyAsk</v>
      </c>
      <c r="I18" s="98" t="s">
        <v>47</v>
      </c>
      <c r="J18" s="103" t="s">
        <v>40</v>
      </c>
      <c r="M18" s="69" t="str">
        <f t="shared" ref="M18:M20" si="7">IF(K18&lt;&gt;"",SUBSTITUTE("SEND TO " &amp;SUBSTITUTE(H18,"/"," ")&amp;" --&gt; SX5E TRF vs"&amp;$E$17&amp; " "&amp;A18&amp; " " &amp;B18&amp;" / " &amp;C18 &amp;", " &amp; N18 &amp; " / " &amp;O18&amp;K18&amp; " ?","  "," "),"")</f>
        <v/>
      </c>
    </row>
    <row r="19" spans="1:15" x14ac:dyDescent="0.25">
      <c r="A19" s="88" t="str">
        <f>'TRF SX5E'!N4</f>
        <v>Mar23</v>
      </c>
      <c r="B19" t="str">
        <f>'TRF SX5E'!O4</f>
        <v/>
      </c>
      <c r="C19" s="2" t="str">
        <f>'TRF SX5E'!P4</f>
        <v/>
      </c>
      <c r="D19" s="25" t="str">
        <f>'TRF SX5E'!Q4</f>
        <v/>
      </c>
      <c r="E19" s="26" t="str">
        <f>'TRF SX5E'!R4</f>
        <v/>
      </c>
      <c r="F19" t="str">
        <f>IFERROR(RIGHT(SUBSTITUTE(SUBSTITUTE(D19,")",""),"(",""),LEN(SUBSTITUTE(SUBSTITUTE(D19,")",""),"(",""))-SEARCH(" ",SUBSTITUTE(SUBSTITUTE(D19,")",""),"(",""))),"")</f>
        <v/>
      </c>
      <c r="G19" t="str">
        <f>IFERROR(RIGHT(SUBSTITUTE(SUBSTITUTE(E19,")",""),"(",""),LEN(SUBSTITUTE(SUBSTITUTE(E19,")",""),"(",""))-SEARCH(" ",SUBSTITUTE(SUBSTITUTE(E19,")",""),"(",""))),"")</f>
        <v/>
      </c>
      <c r="H19" t="str">
        <f t="shared" ref="H19:H20" si="8">IF(_xlfn.NUMBERVALUE(LEFT(D19,1))=_xlfn.NUMBERVALUE(LEFT(E19,1)),"",SUBSTITUTE(IF(_xlfn.NUMBERVALUE(LEFT(D19,1))&gt;_xlfn.NUMBERVALUE(LEFT(E19,1)),SUBSTITUTE(F19,G19,""),IF(_xlfn.NUMBERVALUE(LEFT(D19,1))&lt;_xlfn.NUMBERVALUE(LEFT(E19,1)),SUBSTITUTE(G19,F19,""),"")),"//","/"))</f>
        <v/>
      </c>
      <c r="I19" t="e">
        <f>MROUND((B19*_xlfn.NUMBERVALUE(LEFT(E19,1))+C19*_xlfn.NUMBERVALUE(LEFT(D19,1)))/(_xlfn.NUMBERVALUE(LEFT(D19,1))+_xlfn.NUMBERVALUE(LEFT(E19,1))),-0.25)</f>
        <v>#VALUE!</v>
      </c>
      <c r="J19" s="97" t="e">
        <f>A19&amp;" " &amp; B19 &amp;" (" &amp; LEFT(J31,FIND(" ",J31)-1)&amp;") / " &amp;C19 &amp; " (" &amp; RIGHT(J31,LEN(J31)-FIND(" ",J31)-2)&amp;") --&gt; fair "&amp;MROUND((B19*_xlfn.NUMBERVALUE(LEFT(E19,1))+C19*_xlfn.NUMBERVALUE(LEFT(D19,1)))/(_xlfn.NUMBERVALUE(LEFT(D19,1))+_xlfn.NUMBERVALUE(LEFT(E19,1))),-0.25)</f>
        <v>#VALUE!</v>
      </c>
      <c r="M19" s="69" t="str">
        <f t="shared" si="7"/>
        <v/>
      </c>
      <c r="N19" t="str">
        <f t="shared" ref="N19:N29" si="9">IF(_xlfn.NUMBERVALUE(LEFT(D19,1))=1,"1 on the bid",_xlfn.NUMBERVALUE(LEFT(D19,1))&amp;" ppl on bid")</f>
        <v>0 ppl on bid</v>
      </c>
      <c r="O19" t="str">
        <f t="shared" ref="O19:O29" si="10">IF(_xlfn.NUMBERVALUE(LEFT(E19,1))=1,"1 on the offer",_xlfn.NUMBERVALUE(LEFT(E19,1))&amp;" ppl on the offer")</f>
        <v>0 ppl on the offer</v>
      </c>
    </row>
    <row r="20" spans="1:15" x14ac:dyDescent="0.25">
      <c r="A20" s="88" t="str">
        <f>'TRF SX5E'!N5</f>
        <v>Jun23</v>
      </c>
      <c r="B20">
        <f>'TRF SX5E'!O5</f>
        <v>0</v>
      </c>
      <c r="C20" s="2">
        <f>'TRF SX5E'!P5</f>
        <v>0</v>
      </c>
      <c r="D20" s="25" t="str">
        <f>'TRF SX5E'!Q5</f>
        <v>0 ()</v>
      </c>
      <c r="E20" s="26" t="e" vm="1">
        <f>'TRF SX5E'!R5</f>
        <v>#VALUE!</v>
      </c>
      <c r="F20" t="str">
        <f t="shared" ref="F20:F29" si="11">IFERROR(RIGHT(SUBSTITUTE(SUBSTITUTE(D20,")",""),"(",""),LEN(SUBSTITUTE(SUBSTITUTE(D20,")",""),"(",""))-SEARCH(" ",SUBSTITUTE(SUBSTITUTE(D20,")",""),"(",""))),"")</f>
        <v/>
      </c>
      <c r="G20" t="str">
        <f t="shared" ref="G20:G29" si="12">IFERROR(RIGHT(SUBSTITUTE(SUBSTITUTE(E20,")",""),"(",""),LEN(SUBSTITUTE(SUBSTITUTE(E20,")",""),"(",""))-SEARCH(" ",SUBSTITUTE(SUBSTITUTE(E20,")",""),"(",""))),"")</f>
        <v/>
      </c>
      <c r="H20" t="e" vm="1">
        <f t="shared" si="8"/>
        <v>#VALUE!</v>
      </c>
      <c r="I20" t="e" vm="1">
        <f>MROUND((B20*_xlfn.NUMBERVALUE(LEFT(E20,1))+C20*_xlfn.NUMBERVALUE(LEFT(D20,1)))/(_xlfn.NUMBERVALUE(LEFT(D20,1))+_xlfn.NUMBERVALUE(LEFT(E20,1))),0.25)</f>
        <v>#VALUE!</v>
      </c>
      <c r="J20" s="97" t="e" vm="1">
        <f>A20&amp;" " &amp; B20 &amp;" (" &amp; LEFT(J31,FIND(" ",J31)-1)&amp;") / " &amp;C20 &amp; " (" &amp; RIGHT(J31,LEN(J31)-FIND(" ",J31)-2)&amp;") --&gt; fair "&amp;MROUND((B20*_xlfn.NUMBERVALUE(LEFT(E20,1))+C20*_xlfn.NUMBERVALUE(LEFT(D20,1)))/(_xlfn.NUMBERVALUE(LEFT(D20,1))+_xlfn.NUMBERVALUE(LEFT(E20,1))),0.25)</f>
        <v>#VALUE!</v>
      </c>
      <c r="K20" t="e" vm="1">
        <f t="shared" ref="K20:K29" si="13">IF(_xlfn.NUMBERVALUE(LEFT(E20,1))=_xlfn.NUMBERVALUE(LEFT(D20,1)),"",IF(_xlfn.NUMBERVALUE(LEFT(E20,1))&lt;_xlfn.NUMBERVALUE(LEFT(D20,1))," would you buy " &amp; B20+0.5,IF(_xlfn.NUMBERVALUE(LEFT(E20,1))&gt;_xlfn.NUMBERVALUE(LEFT(D20,1))," would you sell " &amp; C20-0.5,"")))</f>
        <v>#VALUE!</v>
      </c>
      <c r="M20" s="69" t="e" vm="1">
        <f t="shared" si="7"/>
        <v>#VALUE!</v>
      </c>
      <c r="N20" t="str">
        <f t="shared" si="9"/>
        <v>0 ppl on bid</v>
      </c>
      <c r="O20" t="e" vm="1">
        <f t="shared" si="10"/>
        <v>#VALUE!</v>
      </c>
    </row>
    <row r="21" spans="1:15" x14ac:dyDescent="0.25">
      <c r="A21" s="89" t="str">
        <f>'TRF SX5E'!N6</f>
        <v>Dec23</v>
      </c>
      <c r="B21">
        <f>'TRF SX5E'!O6</f>
        <v>16</v>
      </c>
      <c r="C21" s="2">
        <f>'TRF SX5E'!P6</f>
        <v>18</v>
      </c>
      <c r="D21" s="25" t="str">
        <f>'TRF SX5E'!Q6</f>
        <v>1 (Barc)</v>
      </c>
      <c r="E21" s="26" t="str">
        <f>'TRF SX5E'!R6</f>
        <v>1 (Barc)</v>
      </c>
      <c r="F21" t="str">
        <f t="shared" si="11"/>
        <v>Barc</v>
      </c>
      <c r="G21" t="str">
        <f t="shared" si="12"/>
        <v>Barc</v>
      </c>
      <c r="H21" t="str">
        <f>IF(_xlfn.NUMBERVALUE(LEFT(D21,1))=_xlfn.NUMBERVALUE(LEFT(E21,1)),"",SUBSTITUTE(SUBSTITUTE(SUBSTITUTE(IF(_xlfn.NUMBERVALUE(LEFT(D21,1))&gt;_xlfn.NUMBERVALUE(LEFT(E21,1)),SUBSTITUTE(F21,G21,""),IF(_xlfn.NUMBERVALUE(LEFT(D21,1))&lt;_xlfn.NUMBERVALUE(LEFT(E21,1)),SUBSTITUTE(G21,F21,""),"")),"//","/")," /B"," B"),"P/ ","P"))</f>
        <v/>
      </c>
      <c r="I21">
        <f>MROUND((B21*_xlfn.NUMBERVALUE(LEFT(E21,1))+C21*_xlfn.NUMBERVALUE(LEFT(D21,1)))/(_xlfn.NUMBERVALUE(LEFT(D21,1))+_xlfn.NUMBERVALUE(LEFT(E21,1))),0.25)</f>
        <v>17</v>
      </c>
      <c r="J21" s="97" t="str">
        <f>A21&amp;" " &amp; B21 &amp;" (" &amp; LEFT(J32,FIND(" ",J32)-1)&amp;") / " &amp;C21 &amp; " (" &amp; RIGHT(J32,LEN(J32)-FIND(" ",J32)-2)&amp;") --&gt; fair "&amp;MROUND((B21*_xlfn.NUMBERVALUE(LEFT(E21,1))+C21*_xlfn.NUMBERVALUE(LEFT(D21,1)))/(_xlfn.NUMBERVALUE(LEFT(D21,1))+_xlfn.NUMBERVALUE(LEFT(E21,1))),0.25)</f>
        <v>Dec23 16 (3-5k) / 18 (3-5k) --&gt; fair 17</v>
      </c>
      <c r="K21" t="str">
        <f t="shared" si="13"/>
        <v/>
      </c>
      <c r="M21" s="69" t="str">
        <f>IF(K21&lt;&gt;"",SUBSTITUTE("SEND TO " &amp;SUBSTITUTE(H21,"/"," ")&amp;" --&gt; SX5E TRF vs"&amp;$E$17&amp; " "&amp;A21&amp; " " &amp;B21&amp;" / " &amp;C21 &amp;", " &amp; N21 &amp; " / " &amp;O21&amp;K21&amp; " ?","  "," "),"")</f>
        <v/>
      </c>
      <c r="N21" t="str">
        <f t="shared" si="9"/>
        <v>1 on the bid</v>
      </c>
      <c r="O21" t="str">
        <f t="shared" si="10"/>
        <v>1 on the offer</v>
      </c>
    </row>
    <row r="22" spans="1:15" x14ac:dyDescent="0.25">
      <c r="A22" s="89" t="str">
        <f>'TRF SX5E'!N7</f>
        <v>Dec24</v>
      </c>
      <c r="B22">
        <f>'TRF SX5E'!O7</f>
        <v>21</v>
      </c>
      <c r="C22" s="2">
        <f>'TRF SX5E'!P7</f>
        <v>23</v>
      </c>
      <c r="D22" s="25" t="str">
        <f>'TRF SX5E'!Q7</f>
        <v>1 (Barc)</v>
      </c>
      <c r="E22" s="26" t="str">
        <f>'TRF SX5E'!R7</f>
        <v>1 (Barc)</v>
      </c>
      <c r="F22" t="str">
        <f t="shared" si="11"/>
        <v>Barc</v>
      </c>
      <c r="G22" t="str">
        <f t="shared" si="12"/>
        <v>Barc</v>
      </c>
      <c r="H22" t="str">
        <f t="shared" ref="H22:H29" si="14">IF(_xlfn.NUMBERVALUE(LEFT(D22,1))=_xlfn.NUMBERVALUE(LEFT(E22,1)),"",SUBSTITUTE(SUBSTITUTE(SUBSTITUTE(IF(_xlfn.NUMBERVALUE(LEFT(D22,1))&gt;_xlfn.NUMBERVALUE(LEFT(E22,1)),SUBSTITUTE(F22,G22,""),IF(_xlfn.NUMBERVALUE(LEFT(D22,1))&lt;_xlfn.NUMBERVALUE(LEFT(E22,1)),SUBSTITUTE(G22,F22,""),"")),"//","/")," /B"," B"),"P/ ","P"))</f>
        <v/>
      </c>
      <c r="I22">
        <f t="shared" ref="I22:I29" si="15">MROUND((B22*_xlfn.NUMBERVALUE(LEFT(E22,1))+C22*_xlfn.NUMBERVALUE(LEFT(D22,1)))/(_xlfn.NUMBERVALUE(LEFT(D22,1))+_xlfn.NUMBERVALUE(LEFT(E22,1))),0.25)</f>
        <v>22</v>
      </c>
      <c r="J22" s="97" t="str">
        <f t="shared" ref="J22:J29" si="16">A22&amp;" " &amp; B22 &amp;" (" &amp; LEFT(J33,FIND(" ",J33)-1)&amp;") / " &amp;C22 &amp; " (" &amp; RIGHT(J33,LEN(J33)-FIND(" ",J33)-2)&amp;") --&gt; fair "&amp;MROUND((B22*_xlfn.NUMBERVALUE(LEFT(E22,1))+C22*_xlfn.NUMBERVALUE(LEFT(D22,1)))/(_xlfn.NUMBERVALUE(LEFT(D22,1))+_xlfn.NUMBERVALUE(LEFT(E22,1))),0.25)</f>
        <v>Dec24 21 (3-5k) / 23 (3-5k) --&gt; fair 22</v>
      </c>
      <c r="K22" t="str">
        <f t="shared" si="13"/>
        <v/>
      </c>
      <c r="M22" s="69" t="str">
        <f t="shared" ref="M22:M28" si="17">IF(K22&lt;&gt;"",SUBSTITUTE("SEND TO " &amp;SUBSTITUTE(H22,"/"," ")&amp;" --&gt; SX5E TRF vs"&amp;$E$17&amp; " "&amp;A22&amp; " " &amp;B22&amp;" / " &amp;C22 &amp;", " &amp; N22 &amp; " / " &amp;O22&amp;K22&amp; " ?","  "," "),"")</f>
        <v/>
      </c>
      <c r="N22" t="str">
        <f t="shared" si="9"/>
        <v>1 on the bid</v>
      </c>
      <c r="O22" t="str">
        <f t="shared" si="10"/>
        <v>1 on the offer</v>
      </c>
    </row>
    <row r="23" spans="1:15" x14ac:dyDescent="0.25">
      <c r="A23" s="89" t="str">
        <f>'TRF SX5E'!N8</f>
        <v>Dec25</v>
      </c>
      <c r="B23">
        <f>'TRF SX5E'!O8</f>
        <v>26.5</v>
      </c>
      <c r="C23" s="2">
        <f>'TRF SX5E'!P8</f>
        <v>28.5</v>
      </c>
      <c r="D23" s="25" t="str">
        <f>'TRF SX5E'!Q8</f>
        <v>1 (Barc)</v>
      </c>
      <c r="E23" s="26" t="str">
        <f>'TRF SX5E'!R8</f>
        <v>1 (Barc)</v>
      </c>
      <c r="F23" t="str">
        <f t="shared" si="11"/>
        <v>Barc</v>
      </c>
      <c r="G23" t="str">
        <f t="shared" si="12"/>
        <v>Barc</v>
      </c>
      <c r="H23" t="str">
        <f t="shared" si="14"/>
        <v/>
      </c>
      <c r="I23">
        <f t="shared" si="15"/>
        <v>27.5</v>
      </c>
      <c r="J23" s="97" t="str">
        <f t="shared" si="16"/>
        <v>Dec25 26.5 (3-5k) / 28.5 (3-5k) --&gt; fair 27.5</v>
      </c>
      <c r="K23" t="str">
        <f t="shared" si="13"/>
        <v/>
      </c>
      <c r="M23" s="69" t="str">
        <f t="shared" si="17"/>
        <v/>
      </c>
      <c r="N23" t="str">
        <f t="shared" si="9"/>
        <v>1 on the bid</v>
      </c>
      <c r="O23" t="str">
        <f t="shared" si="10"/>
        <v>1 on the offer</v>
      </c>
    </row>
    <row r="24" spans="1:15" x14ac:dyDescent="0.25">
      <c r="A24" s="89" t="str">
        <f>'TRF SX5E'!N9</f>
        <v>Dec26</v>
      </c>
      <c r="B24">
        <f>'TRF SX5E'!O9</f>
        <v>33</v>
      </c>
      <c r="C24" s="2">
        <f>'TRF SX5E'!P9</f>
        <v>35</v>
      </c>
      <c r="D24" s="25" t="str">
        <f>'TRF SX5E'!Q9</f>
        <v>1 (Barc)</v>
      </c>
      <c r="E24" s="26" t="str">
        <f>'TRF SX5E'!R9</f>
        <v>1 (Barc)</v>
      </c>
      <c r="F24" t="str">
        <f t="shared" si="11"/>
        <v>Barc</v>
      </c>
      <c r="G24" t="str">
        <f t="shared" si="12"/>
        <v>Barc</v>
      </c>
      <c r="H24" t="str">
        <f t="shared" si="14"/>
        <v/>
      </c>
      <c r="I24">
        <f t="shared" si="15"/>
        <v>34</v>
      </c>
      <c r="J24" s="97" t="str">
        <f t="shared" si="16"/>
        <v>Dec26 33 (3-5k) / 35 (3-5k) --&gt; fair 34</v>
      </c>
      <c r="K24" t="str">
        <f t="shared" si="13"/>
        <v/>
      </c>
      <c r="M24" s="69" t="str">
        <f t="shared" si="17"/>
        <v/>
      </c>
      <c r="N24" t="str">
        <f t="shared" si="9"/>
        <v>1 on the bid</v>
      </c>
      <c r="O24" t="str">
        <f t="shared" si="10"/>
        <v>1 on the offer</v>
      </c>
    </row>
    <row r="25" spans="1:15" x14ac:dyDescent="0.25">
      <c r="A25" s="89" t="str">
        <f>'TRF SX5E'!N10</f>
        <v>Dec27</v>
      </c>
      <c r="B25">
        <f>'TRF SX5E'!O10</f>
        <v>39.5</v>
      </c>
      <c r="C25" s="2">
        <f>'TRF SX5E'!P10</f>
        <v>41.5</v>
      </c>
      <c r="D25" s="25" t="str">
        <f>'TRF SX5E'!Q10</f>
        <v>1 (Barc)</v>
      </c>
      <c r="E25" s="26" t="str">
        <f>'TRF SX5E'!R10</f>
        <v>1 (Barc)</v>
      </c>
      <c r="F25" t="str">
        <f t="shared" si="11"/>
        <v>Barc</v>
      </c>
      <c r="G25" t="str">
        <f t="shared" si="12"/>
        <v>Barc</v>
      </c>
      <c r="H25" t="str">
        <f t="shared" si="14"/>
        <v/>
      </c>
      <c r="I25">
        <f t="shared" si="15"/>
        <v>40.5</v>
      </c>
      <c r="J25" s="97" t="str">
        <f t="shared" si="16"/>
        <v>Dec27 39.5 (2-3k) / 41.5 (2-3k) --&gt; fair 40.5</v>
      </c>
      <c r="K25" t="str">
        <f t="shared" si="13"/>
        <v/>
      </c>
      <c r="M25" s="69" t="str">
        <f t="shared" si="17"/>
        <v/>
      </c>
      <c r="N25" t="str">
        <f t="shared" si="9"/>
        <v>1 on the bid</v>
      </c>
      <c r="O25" t="str">
        <f t="shared" si="10"/>
        <v>1 on the offer</v>
      </c>
    </row>
    <row r="26" spans="1:15" x14ac:dyDescent="0.25">
      <c r="A26" s="89" t="str">
        <f>'TRF SX5E'!N11</f>
        <v>Dec28</v>
      </c>
      <c r="B26">
        <f>'TRF SX5E'!O11</f>
        <v>46.5</v>
      </c>
      <c r="C26" s="2">
        <f>'TRF SX5E'!P11</f>
        <v>48.5</v>
      </c>
      <c r="D26" s="25" t="str">
        <f>'TRF SX5E'!Q11</f>
        <v>1 (Barc)</v>
      </c>
      <c r="E26" s="26" t="str">
        <f>'TRF SX5E'!R11</f>
        <v>1 (Barc)</v>
      </c>
      <c r="F26" t="str">
        <f t="shared" si="11"/>
        <v>Barc</v>
      </c>
      <c r="G26" t="str">
        <f t="shared" si="12"/>
        <v>Barc</v>
      </c>
      <c r="H26" t="str">
        <f t="shared" si="14"/>
        <v/>
      </c>
      <c r="I26">
        <f t="shared" si="15"/>
        <v>47.5</v>
      </c>
      <c r="J26" s="97" t="str">
        <f t="shared" si="16"/>
        <v>Dec28 46.5 (2-3k) / 48.5 (2-3k) --&gt; fair 47.5</v>
      </c>
      <c r="K26" t="str">
        <f t="shared" si="13"/>
        <v/>
      </c>
      <c r="M26" s="69" t="str">
        <f t="shared" si="17"/>
        <v/>
      </c>
      <c r="N26" t="str">
        <f t="shared" si="9"/>
        <v>1 on the bid</v>
      </c>
      <c r="O26" t="str">
        <f t="shared" si="10"/>
        <v>1 on the offer</v>
      </c>
    </row>
    <row r="27" spans="1:15" x14ac:dyDescent="0.25">
      <c r="A27" s="89" t="str">
        <f>'TRF SX5E'!N12</f>
        <v>Dec29</v>
      </c>
      <c r="B27">
        <f>'TRF SX5E'!O12</f>
        <v>53.5</v>
      </c>
      <c r="C27" s="2">
        <f>'TRF SX5E'!P12</f>
        <v>56.5</v>
      </c>
      <c r="D27" s="25" t="str">
        <f>'TRF SX5E'!Q12</f>
        <v>1 (Barc)</v>
      </c>
      <c r="E27" s="26" t="str">
        <f>'TRF SX5E'!R12</f>
        <v>1 (Barc)</v>
      </c>
      <c r="F27" t="str">
        <f t="shared" si="11"/>
        <v>Barc</v>
      </c>
      <c r="G27" t="str">
        <f t="shared" si="12"/>
        <v>Barc</v>
      </c>
      <c r="H27" t="str">
        <f t="shared" si="14"/>
        <v/>
      </c>
      <c r="I27">
        <f t="shared" si="15"/>
        <v>55</v>
      </c>
      <c r="J27" s="97" t="str">
        <f t="shared" si="16"/>
        <v>Dec29 53.5 (2-3k) / 56.5 (2-3k) --&gt; fair 55</v>
      </c>
      <c r="K27" t="str">
        <f t="shared" si="13"/>
        <v/>
      </c>
      <c r="M27" s="69" t="str">
        <f t="shared" si="17"/>
        <v/>
      </c>
      <c r="N27" t="str">
        <f t="shared" si="9"/>
        <v>1 on the bid</v>
      </c>
      <c r="O27" t="str">
        <f t="shared" si="10"/>
        <v>1 on the offer</v>
      </c>
    </row>
    <row r="28" spans="1:15" x14ac:dyDescent="0.25">
      <c r="A28" s="89" t="str">
        <f>'TRF SX5E'!N13</f>
        <v>Dec30</v>
      </c>
      <c r="B28">
        <f>'TRF SX5E'!O13</f>
        <v>60</v>
      </c>
      <c r="C28" s="2">
        <f>'TRF SX5E'!P13</f>
        <v>64</v>
      </c>
      <c r="D28" s="25" t="str">
        <f>'TRF SX5E'!Q13</f>
        <v>1 (Barc)</v>
      </c>
      <c r="E28" s="26" t="str">
        <f>'TRF SX5E'!R13</f>
        <v>1 (Barc)</v>
      </c>
      <c r="F28" t="str">
        <f t="shared" si="11"/>
        <v>Barc</v>
      </c>
      <c r="G28" t="str">
        <f t="shared" si="12"/>
        <v>Barc</v>
      </c>
      <c r="H28" t="str">
        <f t="shared" si="14"/>
        <v/>
      </c>
      <c r="I28">
        <f t="shared" si="15"/>
        <v>62</v>
      </c>
      <c r="J28" s="97" t="str">
        <f t="shared" si="16"/>
        <v>Dec30 60 (2-3k) / 64 (2-3k) --&gt; fair 62</v>
      </c>
      <c r="K28" t="str">
        <f t="shared" si="13"/>
        <v/>
      </c>
      <c r="M28" s="69" t="str">
        <f t="shared" si="17"/>
        <v/>
      </c>
      <c r="N28" t="str">
        <f t="shared" si="9"/>
        <v>1 on the bid</v>
      </c>
      <c r="O28" t="str">
        <f t="shared" si="10"/>
        <v>1 on the offer</v>
      </c>
    </row>
    <row r="29" spans="1:15" ht="15.75" thickBot="1" x14ac:dyDescent="0.3">
      <c r="A29" s="90" t="str">
        <f>'TRF SX5E'!N14</f>
        <v>Dec31</v>
      </c>
      <c r="B29" s="71">
        <f>'TRF SX5E'!O14</f>
        <v>66.5</v>
      </c>
      <c r="C29" s="91">
        <f>'TRF SX5E'!P14</f>
        <v>72.5</v>
      </c>
      <c r="D29" s="92" t="str">
        <f>'TRF SX5E'!Q14</f>
        <v>1 (Barc)</v>
      </c>
      <c r="E29" s="93" t="str">
        <f>'TRF SX5E'!R14</f>
        <v>1 (Barc)</v>
      </c>
      <c r="F29" s="71" t="str">
        <f t="shared" si="11"/>
        <v>Barc</v>
      </c>
      <c r="G29" s="71" t="str">
        <f t="shared" si="12"/>
        <v>Barc</v>
      </c>
      <c r="H29" s="71" t="str">
        <f t="shared" si="14"/>
        <v/>
      </c>
      <c r="I29" s="71">
        <f t="shared" si="15"/>
        <v>69.5</v>
      </c>
      <c r="J29" s="104" t="str">
        <f t="shared" si="16"/>
        <v>Dec31 66.5 (2-3k) / 72.5 (2-3k) --&gt; fair 69.5</v>
      </c>
      <c r="K29" s="71" t="str">
        <f t="shared" si="13"/>
        <v/>
      </c>
      <c r="L29" s="71"/>
      <c r="M29" s="72" t="str">
        <f t="shared" ref="M29" si="18">IF(K29&lt;&gt;"",SUBSTITUTE("SEND TO " &amp;SUBSTITUTE(H29,"/"," ")&amp;" --&gt; SX5E TRF vs"&amp;$E$17&amp; " "&amp;$I$3&amp;A29&amp; " " &amp;B29&amp;" / " &amp;C29 &amp;", " &amp; N29 &amp; " / " &amp;O29&amp;K29&amp; " ?","  "," "),"")</f>
        <v/>
      </c>
      <c r="N29" t="str">
        <f t="shared" si="9"/>
        <v>1 on the bid</v>
      </c>
      <c r="O29" t="str">
        <f t="shared" si="10"/>
        <v>1 on the offer</v>
      </c>
    </row>
    <row r="31" spans="1:15" x14ac:dyDescent="0.25">
      <c r="J31" t="str">
        <f>'TRF SX5E'!O46</f>
        <v>Subj / Subj</v>
      </c>
    </row>
    <row r="32" spans="1:15" x14ac:dyDescent="0.25">
      <c r="J32" t="str" cm="1">
        <f t="array" ref="J32:J40">'TRF SX5E'!O48:O56</f>
        <v>3-5k / 3-5k</v>
      </c>
    </row>
    <row r="33" spans="10:10" x14ac:dyDescent="0.25">
      <c r="J33" t="str">
        <v>3-5k / 3-5k</v>
      </c>
    </row>
    <row r="34" spans="10:10" x14ac:dyDescent="0.25">
      <c r="J34" t="str">
        <v>3-5k / 3-5k</v>
      </c>
    </row>
    <row r="35" spans="10:10" x14ac:dyDescent="0.25">
      <c r="J35" t="str">
        <v>3-5k / 3-5k</v>
      </c>
    </row>
    <row r="36" spans="10:10" x14ac:dyDescent="0.25">
      <c r="J36" t="str">
        <v>2-3k / 2-3k</v>
      </c>
    </row>
    <row r="37" spans="10:10" x14ac:dyDescent="0.25">
      <c r="J37" t="str">
        <v>2-3k / 2-3k</v>
      </c>
    </row>
    <row r="38" spans="10:10" x14ac:dyDescent="0.25">
      <c r="J38" t="str">
        <v>2-3k / 2-3k</v>
      </c>
    </row>
    <row r="39" spans="10:10" x14ac:dyDescent="0.25">
      <c r="J39" t="str">
        <v>2-3k / 2-3k</v>
      </c>
    </row>
    <row r="40" spans="10:10" x14ac:dyDescent="0.25">
      <c r="J40" t="str">
        <v>2-3k / 2-3k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BC9DE-552D-4181-822A-7F193D209E11}">
  <sheetPr codeName="Sheet5"/>
  <dimension ref="B2:AT202"/>
  <sheetViews>
    <sheetView tabSelected="1" topLeftCell="A58" zoomScale="85" zoomScaleNormal="85" workbookViewId="0">
      <selection activeCell="C68" sqref="C68:C77"/>
    </sheetView>
  </sheetViews>
  <sheetFormatPr defaultRowHeight="21" customHeight="1" outlineLevelCol="2" x14ac:dyDescent="0.25"/>
  <cols>
    <col min="3" max="3" width="34.28515625" customWidth="1"/>
    <col min="4" max="6" width="9.140625" hidden="1" customWidth="1" outlineLevel="2"/>
    <col min="7" max="7" width="12.140625" hidden="1" customWidth="1" outlineLevel="2"/>
    <col min="8" max="8" width="44.140625" hidden="1" customWidth="1" outlineLevel="2"/>
    <col min="9" max="9" width="17" hidden="1" customWidth="1" outlineLevel="2"/>
    <col min="10" max="10" width="4.42578125" hidden="1" customWidth="1" outlineLevel="2" collapsed="1"/>
    <col min="11" max="11" width="58.42578125" customWidth="1" outlineLevel="1" collapsed="1"/>
    <col min="12" max="12" width="15.28515625" bestFit="1" customWidth="1"/>
    <col min="13" max="13" width="8.140625" customWidth="1"/>
    <col min="14" max="14" width="34.85546875" customWidth="1"/>
    <col min="15" max="15" width="10.5703125" customWidth="1"/>
    <col min="17" max="17" width="20.7109375" style="9" customWidth="1"/>
    <col min="18" max="18" width="19.140625" style="9" customWidth="1"/>
    <col min="19" max="19" width="30.85546875" bestFit="1" customWidth="1"/>
    <col min="20" max="20" width="23.5703125" bestFit="1" customWidth="1"/>
    <col min="21" max="21" width="9.140625" hidden="1" customWidth="1" outlineLevel="1"/>
    <col min="22" max="43" width="9.140625" hidden="1" customWidth="1" outlineLevel="2"/>
    <col min="44" max="45" width="14" hidden="1" customWidth="1" outlineLevel="2"/>
    <col min="46" max="46" width="35" customWidth="1" collapsed="1"/>
  </cols>
  <sheetData>
    <row r="2" spans="2:46" ht="21" customHeight="1" thickBot="1" x14ac:dyDescent="0.3">
      <c r="B2" s="32" t="s">
        <v>18</v>
      </c>
      <c r="C2" s="46"/>
      <c r="AT2" s="45" t="str">
        <f>LEFT(N3,22)&amp;"colour " &amp; RIGHT(N3,9)</f>
        <v>Tightest SX5E TRF vs 6colour  vs 6.125</v>
      </c>
    </row>
    <row r="3" spans="2:46" ht="21" customHeight="1" x14ac:dyDescent="0.25">
      <c r="B3" s="20"/>
      <c r="J3" t="str">
        <f t="shared" ref="J3:J5" si="0">IF(C3="","",IF(I3="",C3,C3&amp;" -&gt; "&amp;I3))</f>
        <v/>
      </c>
      <c r="L3" t="str">
        <f>IF(AND(E3=$O$5,COUNTIF(E:E,$O$5)=1),"Best bid solo","") &amp; " " &amp; IF(AND(F3=$P$5,COUNTIF(F:F,$P$5)=1),"Best offer solo","")</f>
        <v xml:space="preserve"> </v>
      </c>
      <c r="N3" s="152" t="str">
        <f>N17</f>
        <v>Tightest SX5E TRF vs 6.125</v>
      </c>
      <c r="O3" s="153" t="str">
        <f ca="1">TEXT(NOW(),"hh:mm:ss")</f>
        <v>17:44:41</v>
      </c>
      <c r="P3" s="154" cm="1">
        <f t="array" ref="P3">_xll.BDP("VGA INDEX","Last_price")</f>
        <v>4027</v>
      </c>
      <c r="Q3" s="155" t="s">
        <v>9</v>
      </c>
      <c r="R3" s="156" t="s">
        <v>10</v>
      </c>
      <c r="T3" t="s">
        <v>15</v>
      </c>
      <c r="U3" s="84"/>
      <c r="V3" s="66" t="s">
        <v>11</v>
      </c>
      <c r="W3" s="67"/>
      <c r="X3" s="117"/>
      <c r="Y3" s="117"/>
      <c r="Z3" s="67"/>
      <c r="AA3" s="67"/>
      <c r="AB3" s="67"/>
      <c r="AC3" s="67"/>
      <c r="AD3" s="67"/>
      <c r="AE3" s="67"/>
      <c r="AF3" s="86"/>
      <c r="AH3" s="84"/>
      <c r="AI3" s="66" t="s">
        <v>12</v>
      </c>
      <c r="AJ3" s="67"/>
      <c r="AK3" s="117"/>
      <c r="AL3" s="117"/>
      <c r="AM3" s="118" t="str" cm="1">
        <f t="array" ref="AM3">IFERROR(INDEX(B:B,SMALL(IF(E:E=$O9,ROW(E:E)-ROW($E6)+1),ROWS(E:E))),"")</f>
        <v/>
      </c>
      <c r="AN3" s="67"/>
      <c r="AO3" s="67"/>
      <c r="AP3" s="67"/>
      <c r="AQ3" s="67"/>
      <c r="AR3" s="67"/>
      <c r="AS3" s="86"/>
      <c r="AT3" s="2" t="str">
        <f>IF(Q4&lt;&gt;"",N4&amp;" ("&amp;LEFT(Q4,1) &amp;") "&amp;O4&amp;"/"&amp; P4 &amp;" ("&amp; LEFT(R4,1) &amp;")","")</f>
        <v/>
      </c>
    </row>
    <row r="4" spans="2:46" ht="21" customHeight="1" x14ac:dyDescent="0.25">
      <c r="B4" s="20"/>
      <c r="D4" t="str">
        <f t="shared" ref="D4:D6" si="1">IF(C4="","",SUBSTITUTE(LEFT(C4,FIND(" ",C4)-1),"-",""))</f>
        <v/>
      </c>
      <c r="E4" t="str">
        <f t="shared" ref="E4:E6" si="2">IF(C4="","",IFERROR(IFERROR(VALUE(SUBSTITUTE(MID(C4,FIND(" ",C4),FIND("/",C4)-FIND(" ",C4))," ","")),IF(FIND("B",UPPER(C4)),VALUE(MID(C4,FIND(" ",C4),FIND("B",UPPER(C4))-FIND(" ",C4))),"")),""))</f>
        <v/>
      </c>
      <c r="F4" t="str">
        <f t="shared" ref="F4:F6" si="3">IF(C4="","",IFERROR(IFERROR(VALUE(SUBSTITUTE(RIGHT(C4,LEN(C4)-FIND("/",C4))," ","")),IF(FIND("O",UPPER(C4)),VALUE(MID(C4,FIND(" ",C4),FIND("O",UPPER(C4))-FIND(" ",C4))),"")),""))</f>
        <v/>
      </c>
      <c r="G4" t="str">
        <f t="shared" ref="G4:G6" si="4">IF(C4="","",IF(G3="",IF(G2="","",G2),G3))</f>
        <v/>
      </c>
      <c r="I4" t="str">
        <f>IFERROR(IF(C4="","",IF(E4=INDEX(O:O,MATCH(D4,N:N,0)),"",INDEX(O:O,MATCH(D4,N:N,0))&amp; " bid")&amp;IF(F4=INDEX(P:P,MATCH(D4,N:N,0)),"",IF(E4=INDEX(O:O,MATCH(D4,N:N,0)),INDEX(P:P,MATCH(D4,N:N,0))&amp;" offer"," / "&amp;INDEX(P:P,MATCH(D4,N:N,0))&amp;" offer"))),"")</f>
        <v/>
      </c>
      <c r="J4" t="str">
        <f t="shared" si="0"/>
        <v/>
      </c>
      <c r="L4" t="str">
        <f>IF(AND(E4=$O$5,COUNTIF(E:E,$O$5)=1),"Best bid solo","") &amp; " " &amp; IF(AND(F4=$P$5,COUNTIF(F:F,$P$5)=1),"Best offer solo","")</f>
        <v xml:space="preserve"> </v>
      </c>
      <c r="N4" s="88" t="s">
        <v>39</v>
      </c>
      <c r="O4" s="97" t="str">
        <f>IF(COUNTIF(D:D,N4)&gt;0,_xlfn.MAXIFS(E:E,D:D,N4),"")</f>
        <v/>
      </c>
      <c r="P4" s="69" t="str">
        <f>IF(COUNTIF(D:D,N4)&gt;0,_xlfn.MINIFS(F:F,D:D,N4),"")</f>
        <v/>
      </c>
      <c r="Q4" s="148" t="str">
        <f>IFERROR(IF(O4&lt;&gt;"",COUNTIF(E:E,O4) &amp; " (" &amp;_xlfn.TEXTJOIN("/",TRUE,U5:U10)&amp; ")",""),"")</f>
        <v/>
      </c>
      <c r="R4" s="115" t="str">
        <f>IFERROR(IF(P4&lt;&gt;"",COUNTIF(F:F,P4) &amp; " (" &amp;_xlfn.TEXTJOIN("/",TRUE,AH5:AH10)&amp; ")",""),"")</f>
        <v/>
      </c>
      <c r="S4" t="str">
        <f>IFERROR(IF(O4=P4, RIGHT(Q4,LEN(Q4)-FIND("(",Q4)+1)&amp;" Yours "&amp;N4&amp;" at "&amp; O4&amp; " checking size"&amp;" / " &amp;RIGHT(R4,LEN(R4)-FIND("(",R4)+1)&amp;" Mine "&amp;N4&amp;" at "&amp; O4&amp; " checking size","") &amp;IF(AND(P4-O4&lt;0.6,P4-O4&lt;&gt;0),"VERY TIGHT",""),"")</f>
        <v/>
      </c>
      <c r="T4">
        <v>1234</v>
      </c>
      <c r="U4" s="89" t="str">
        <f>O4</f>
        <v/>
      </c>
      <c r="V4" s="20">
        <f>O5</f>
        <v>0</v>
      </c>
      <c r="W4" s="20">
        <f>O6</f>
        <v>16</v>
      </c>
      <c r="X4" s="20">
        <f>O7</f>
        <v>21</v>
      </c>
      <c r="Y4" s="20">
        <f>O8</f>
        <v>26.5</v>
      </c>
      <c r="Z4" s="20">
        <f>O9</f>
        <v>33</v>
      </c>
      <c r="AA4" s="20">
        <f>O10</f>
        <v>39.5</v>
      </c>
      <c r="AB4" s="20">
        <f>O11</f>
        <v>46.5</v>
      </c>
      <c r="AC4" s="20">
        <f>O12</f>
        <v>53.5</v>
      </c>
      <c r="AD4" s="20">
        <f>O13</f>
        <v>60</v>
      </c>
      <c r="AE4" s="20">
        <f>O14</f>
        <v>66.5</v>
      </c>
      <c r="AF4" s="119">
        <f>O15</f>
        <v>0</v>
      </c>
      <c r="AG4" s="20"/>
      <c r="AH4" s="89" t="str">
        <f>IF(P4&lt;&gt;"",P4,"")</f>
        <v/>
      </c>
      <c r="AI4" s="20">
        <f>IF(P5&lt;&gt;"",P5,"")</f>
        <v>0</v>
      </c>
      <c r="AJ4" s="20">
        <f>P6</f>
        <v>18</v>
      </c>
      <c r="AK4" s="20">
        <f>P7</f>
        <v>23</v>
      </c>
      <c r="AL4" s="20">
        <f>P8</f>
        <v>28.5</v>
      </c>
      <c r="AM4" s="20">
        <f>P9</f>
        <v>35</v>
      </c>
      <c r="AN4" s="20">
        <f>P10</f>
        <v>41.5</v>
      </c>
      <c r="AO4" s="20">
        <f>P11</f>
        <v>48.5</v>
      </c>
      <c r="AP4" s="20">
        <f>P12</f>
        <v>56.5</v>
      </c>
      <c r="AQ4" s="20">
        <f>P13</f>
        <v>64</v>
      </c>
      <c r="AR4" s="20">
        <f>P14</f>
        <v>72.5</v>
      </c>
      <c r="AS4" s="119">
        <f>P15</f>
        <v>0</v>
      </c>
      <c r="AT4" s="2" t="e" vm="1">
        <f>IF(Q5&lt;&gt;"",N5&amp;" ("&amp;LEFT(Q5,1) &amp;") "&amp;O5&amp;"/"&amp; P5 &amp;" ("&amp; LEFT(R5,1) &amp;")","")</f>
        <v>#VALUE!</v>
      </c>
    </row>
    <row r="5" spans="2:46" ht="21" customHeight="1" x14ac:dyDescent="0.25">
      <c r="B5" s="20" t="s">
        <v>16</v>
      </c>
      <c r="D5" t="str">
        <f t="shared" si="1"/>
        <v/>
      </c>
      <c r="E5" t="str">
        <f t="shared" si="2"/>
        <v/>
      </c>
      <c r="F5" t="str">
        <f t="shared" si="3"/>
        <v/>
      </c>
      <c r="G5" t="str">
        <f t="shared" si="4"/>
        <v/>
      </c>
      <c r="I5" t="str">
        <f>IFERROR(IF(C5="","",IF(E5=INDEX(O:O,MATCH(D5,N:N,0)),"",INDEX(O:O,MATCH(D5,N:N,0))&amp; " bid")&amp;IF(F5=INDEX(P:P,MATCH(D5,N:N,0)),"",IF(E5=INDEX(O:O,MATCH(D5,N:N,0)),INDEX(P:P,MATCH(D5,N:N,0))&amp;" offer"," / "&amp;INDEX(P:P,MATCH(D5,N:N,0))&amp;" offer"))),"")</f>
        <v/>
      </c>
      <c r="J5" t="str">
        <f t="shared" si="0"/>
        <v/>
      </c>
      <c r="L5" t="str">
        <f>IF(AND(E5=$O$5,COUNTIF(E:E,$O$5)=1),"Best bid solo","") &amp; " " &amp; IF(AND(F5=$P$5,COUNTIF(F:F,$P$5)=1),"Best offer solo","")</f>
        <v xml:space="preserve"> </v>
      </c>
      <c r="N5" s="88" t="s">
        <v>45</v>
      </c>
      <c r="O5" s="97">
        <f>_xlfn.MAXIFS(E:E,D:D,N5)</f>
        <v>0</v>
      </c>
      <c r="P5" s="69">
        <f>_xlfn.MINIFS(F:F,D:D,N5)</f>
        <v>0</v>
      </c>
      <c r="Q5" s="148" t="str">
        <f>COUNTIF(E:E,O5) &amp; " (" &amp;_xlfn.TEXTJOIN("/",TRUE,U5:U11)&amp; ")"</f>
        <v>0 ()</v>
      </c>
      <c r="R5" s="115" t="e" vm="1">
        <f>COUNTIF(F:F,P5) &amp; " (" &amp;_xlfn.TEXTJOIN("/",TRUE,AI5:AI11)&amp; ")"</f>
        <v>#VALUE!</v>
      </c>
      <c r="S5" t="str">
        <f t="shared" ref="S5:S14" si="5">IFERROR(IF(O5=P5, RIGHT(Q5,LEN(Q5)-FIND("(",Q5)+1)&amp;" Yours "&amp;N5&amp;" at "&amp; O5&amp; " checking size"&amp;" / " &amp;RIGHT(R5,LEN(R5)-FIND("(",R5)+1)&amp;" Mine "&amp;N5&amp;" at "&amp; O5&amp; " checking size","") &amp;IF(AND(P5-O5&lt;0.6,P5-O5&lt;&gt;0),"VERY TIGHT",""),"")</f>
        <v/>
      </c>
      <c r="U5" s="68" t="str" cm="1">
        <f t="array" ref="U5">IF(O4&lt;&gt;"",_xlfn._xlws.FILTER($B:$B,EXACT(U$4,$E:$E)),"")</f>
        <v/>
      </c>
      <c r="V5" t="e" cm="1" vm="2">
        <f t="array" ref="V5">IF(V4&lt;&gt;"",_xlfn._xlws.FILTER($B:$B,EXACT(V$4,$E:$E)),"")</f>
        <v>#VALUE!</v>
      </c>
      <c r="W5" t="str" cm="1">
        <f t="array" ref="W5">_xlfn._xlws.FILTER($B:$B,EXACT(W$4,$E:$E))</f>
        <v>Barc</v>
      </c>
      <c r="X5" t="str" cm="1">
        <f t="array" ref="X5">_xlfn._xlws.FILTER($B:$B,EXACT(X$4,$E:$E))</f>
        <v>Barc</v>
      </c>
      <c r="Y5" t="str" cm="1">
        <f t="array" ref="Y5">_xlfn._xlws.FILTER($B:$B,EXACT(Y$4,$E:$E))</f>
        <v>Barc</v>
      </c>
      <c r="Z5" t="str" cm="1">
        <f t="array" ref="Z5">_xlfn._xlws.FILTER($B:$B,EXACT(Z$4,$E:$E))</f>
        <v>Barc</v>
      </c>
      <c r="AA5" t="str" cm="1">
        <f t="array" ref="AA5">_xlfn._xlws.FILTER($B:$B,EXACT(AA$4,$E:$E))</f>
        <v>Barc</v>
      </c>
      <c r="AB5" t="str" cm="1">
        <f t="array" ref="AB5">_xlfn._xlws.FILTER($B:$B,EXACT(AB$4,$E:$E))</f>
        <v>Barc</v>
      </c>
      <c r="AC5" t="str" cm="1">
        <f t="array" ref="AC5">_xlfn._xlws.FILTER($B:$B,EXACT(AC$4,$E:$E))</f>
        <v>Barc</v>
      </c>
      <c r="AD5" t="str" cm="1">
        <f t="array" ref="AD5">_xlfn._xlws.FILTER($B:$B,EXACT(AD$4,$E:$E))</f>
        <v>Barc</v>
      </c>
      <c r="AE5" t="str" cm="1">
        <f t="array" ref="AE5">_xlfn._xlws.FILTER($B:$B,EXACT(AE$4,$E:$E))</f>
        <v>Barc</v>
      </c>
      <c r="AF5" s="69" t="e" cm="1" vm="2">
        <f t="array" ref="AF5">_xlfn._xlws.FILTER($B:$B,EXACT(AF$4,$E:$E))</f>
        <v>#VALUE!</v>
      </c>
      <c r="AH5" s="68" t="str" cm="1">
        <f t="array" ref="AH5">IF(AH4&lt;&gt;"",_xlfn._xlws.FILTER($B:$B,EXACT(AH$4,$F:$F)),"")</f>
        <v/>
      </c>
      <c r="AI5" t="e" cm="1" vm="2">
        <f t="array" ref="AI5">IF(AI4&lt;&gt;"",_xlfn._xlws.FILTER($B:$B,EXACT(AI$4,$F:$F)),"")</f>
        <v>#VALUE!</v>
      </c>
      <c r="AJ5" t="str" cm="1">
        <f t="array" ref="AJ5">_xlfn._xlws.FILTER($B:$B,EXACT(AJ$4,$F:$F))</f>
        <v>Barc</v>
      </c>
      <c r="AK5" t="str" cm="1">
        <f t="array" ref="AK5">_xlfn._xlws.FILTER($B:$B,EXACT(AK$4,$F:$F))</f>
        <v>Barc</v>
      </c>
      <c r="AL5" t="str" cm="1">
        <f t="array" ref="AL5">_xlfn._xlws.FILTER($B:$B,EXACT(AL$4,$F:$F))</f>
        <v>Barc</v>
      </c>
      <c r="AM5" t="str" cm="1">
        <f t="array" ref="AM5">_xlfn._xlws.FILTER($B:$B,EXACT(AM$4,$F:$F))</f>
        <v>Barc</v>
      </c>
      <c r="AN5" t="str" cm="1">
        <f t="array" ref="AN5">_xlfn._xlws.FILTER($B:$B,EXACT(AN$4,$F:$F))</f>
        <v>Barc</v>
      </c>
      <c r="AO5" t="str" cm="1">
        <f t="array" ref="AO5">_xlfn._xlws.FILTER($B:$B,EXACT(AO$4,$F:$F))</f>
        <v>Barc</v>
      </c>
      <c r="AP5" t="str" cm="1">
        <f t="array" ref="AP5">_xlfn._xlws.FILTER($B:$B,EXACT(AP$4,$F:$F))</f>
        <v>Barc</v>
      </c>
      <c r="AQ5" t="str" cm="1">
        <f t="array" ref="AQ5">_xlfn._xlws.FILTER($B:$B,EXACT(AQ$4,$F:$F))</f>
        <v>Barc</v>
      </c>
      <c r="AR5" t="str" cm="1">
        <f t="array" ref="AR5">_xlfn._xlws.FILTER($B:$B,EXACT(AR$4,$F:$F))</f>
        <v>Barc</v>
      </c>
      <c r="AS5" s="69" t="e" cm="1" vm="2">
        <f t="array" ref="AS5">_xlfn._xlws.FILTER($B:$B,EXACT(AS$4,$F:$F))</f>
        <v>#VALUE!</v>
      </c>
      <c r="AT5" s="2" t="str">
        <f t="shared" ref="AT5:AT13" si="6">IFERROR(N6&amp;" ("&amp;LEFT(Q6,1) &amp;") "&amp;O6&amp;"/"&amp; P6 &amp;" ("&amp; LEFT(R6,1) &amp;")","")</f>
        <v>Dec23 (1) 16/18 (1)</v>
      </c>
    </row>
    <row r="6" spans="2:46" ht="21" customHeight="1" x14ac:dyDescent="0.25">
      <c r="B6" s="20" t="s">
        <v>53</v>
      </c>
      <c r="D6" t="str">
        <f t="shared" si="1"/>
        <v/>
      </c>
      <c r="E6" t="str">
        <f t="shared" si="2"/>
        <v/>
      </c>
      <c r="F6" t="str">
        <f t="shared" si="3"/>
        <v/>
      </c>
      <c r="G6" t="str">
        <f t="shared" si="4"/>
        <v/>
      </c>
      <c r="I6" t="str">
        <f>IFERROR(IF(C6="","",IF(E6=INDEX(O:O,MATCH(D6,N:N,0)),"",INDEX(O:O,MATCH(D6,N:N,0))&amp; " bid")&amp;IF(F6=INDEX(P:P,MATCH(D6,N:N,0)),"",IF(E6=INDEX(O:O,MATCH(D6,N:N,0)),INDEX(P:P,MATCH(D6,N:N,0))&amp;" offer"," / "&amp;INDEX(P:P,MATCH(D6,N:N,0))&amp;" offer"))),"")</f>
        <v/>
      </c>
      <c r="J6" t="str">
        <f>IF(C6="","",IF(I6="",C6,C6&amp;" -&gt; "&amp;I6))</f>
        <v/>
      </c>
      <c r="L6" t="str">
        <f>IF(AND(E6=$O$5,COUNTIF(E:E,$O$5)=1),"Best bid solo","") &amp; " " &amp; IF(AND(F6=$P$5,COUNTIF(F:F,$P$5)=1),"Best offer solo","")</f>
        <v xml:space="preserve"> </v>
      </c>
      <c r="N6" s="89" t="s">
        <v>0</v>
      </c>
      <c r="O6" s="97">
        <f>_xlfn.MAXIFS(E:E,D:D,N6)</f>
        <v>16</v>
      </c>
      <c r="P6" s="69">
        <f>_xlfn.MINIFS(F:F,D:D,N6)</f>
        <v>18</v>
      </c>
      <c r="Q6" s="148" t="str">
        <f>COUNTIF(E:E,O6) &amp; " (" &amp;_xlfn.TEXTJOIN("/",TRUE,W5:W11)&amp; ")"</f>
        <v>1 (Barc)</v>
      </c>
      <c r="R6" s="115" t="str">
        <f>COUNTIF(F:F,P6)&amp; " (" &amp;_xlfn.TEXTJOIN("/",TRUE,AJ5:AJ11)&amp; ")"</f>
        <v>1 (Barc)</v>
      </c>
      <c r="S6" t="str">
        <f>IFERROR(IF(O6=P6, RIGHT(Q6,LEN(Q6)-FIND("(",Q6)+1)&amp;" Yours "&amp;N6&amp;" at "&amp; O6&amp; " checking size"&amp;" / " &amp;RIGHT(R6,LEN(R6)-FIND("(",R6)+1)&amp;" Mine "&amp;N6&amp;" at "&amp; O6&amp; " checking size","") &amp;IF(AND(P6-O6&lt;0.6,P6-O6&lt;&gt;0),"VERY TIGHT",""),"")</f>
        <v/>
      </c>
      <c r="AF6" s="69"/>
      <c r="AH6" s="68"/>
      <c r="AS6" s="69"/>
      <c r="AT6" s="2" t="str">
        <f t="shared" si="6"/>
        <v>Dec24 (1) 21/23 (1)</v>
      </c>
    </row>
    <row r="7" spans="2:46" ht="21" customHeight="1" x14ac:dyDescent="0.25">
      <c r="B7" s="20" t="s">
        <v>56</v>
      </c>
      <c r="D7" t="str">
        <f>IF(C7="","",SUBSTITUTE(LEFT(C7,FIND(" ",C7)-1),"-",""))</f>
        <v/>
      </c>
      <c r="E7" t="str">
        <f>IF(C7="","",IFERROR(IFERROR(VALUE(SUBSTITUTE(MID(C7,FIND(" ",C7),FIND("/",C7)-FIND(" ",C7))," ","")),IF(FIND("B",UPPER(C7)),VALUE(MID(C7,FIND(" ",C7),FIND("B",UPPER(C7))-FIND(" ",C7))),"")),""))</f>
        <v/>
      </c>
      <c r="F7" t="str">
        <f>IF(C7="","",IFERROR(IFERROR(VALUE(SUBSTITUTE(RIGHT(C7,LEN(C7)-FIND("/",C7))," ","")),IF(FIND("O",UPPER(C7)),VALUE(MID(C7,FIND(" ",C7),FIND("O",UPPER(C7))-FIND(" ",C7))),"")),""))</f>
        <v/>
      </c>
      <c r="G7" t="str">
        <f>IF(C7="","",IF(G6="",IF(G5="","",G5),G6))</f>
        <v/>
      </c>
      <c r="I7" t="str">
        <f>IFERROR(IF(C7="","",IF(E7=INDEX(O:O,MATCH(D7,N:N,0)),"",INDEX(O:O,MATCH(D7,N:N,0))&amp; " bid")&amp;IF(F7=INDEX(P:P,MATCH(D7,N:N,0)),"",IF(E7=INDEX(O:O,MATCH(D7,N:N,0)),INDEX(P:P,MATCH(D7,N:N,0))&amp;" offer"," / "&amp;INDEX(P:P,MATCH(D7,N:N,0))&amp;" offer"))),"")</f>
        <v/>
      </c>
      <c r="J7" t="str">
        <f>IF(C7="","",IF(I7="",C7,C7&amp;" -&gt; "&amp;I7))</f>
        <v/>
      </c>
      <c r="L7" t="str">
        <f>IF(AND(E7=$O$5,COUNTIF(E:E,$O$5)=1),"Best bid solo","") &amp; " " &amp; IF(AND(F7=$P$5,COUNTIF(F:F,$P$5)=1),"Best offer solo","")</f>
        <v xml:space="preserve"> </v>
      </c>
      <c r="N7" s="89" t="s">
        <v>1</v>
      </c>
      <c r="O7" s="97">
        <f>_xlfn.MAXIFS(E:E,D:D,N7)</f>
        <v>21</v>
      </c>
      <c r="P7" s="69">
        <f>_xlfn.MINIFS(F:F,D:D,N7)</f>
        <v>23</v>
      </c>
      <c r="Q7" s="148" t="str">
        <f>COUNTIF(E:E,O7) &amp; " (" &amp;_xlfn.TEXTJOIN("/",TRUE,X5:X11)&amp; ")"</f>
        <v>1 (Barc)</v>
      </c>
      <c r="R7" s="115" t="str">
        <f>COUNTIF(F:F,P7)&amp; " (" &amp;_xlfn.TEXTJOIN("/",TRUE,AK5:AK11)&amp; ")"</f>
        <v>1 (Barc)</v>
      </c>
      <c r="S7" t="str">
        <f t="shared" si="5"/>
        <v/>
      </c>
      <c r="U7" s="68"/>
      <c r="AF7" s="69"/>
      <c r="AH7" s="68"/>
      <c r="AS7" s="69"/>
      <c r="AT7" s="2" t="str">
        <f t="shared" si="6"/>
        <v>Dec25 (1) 26.5/28.5 (1)</v>
      </c>
    </row>
    <row r="8" spans="2:46" ht="21" customHeight="1" x14ac:dyDescent="0.25">
      <c r="B8" s="20" t="s">
        <v>56</v>
      </c>
      <c r="D8" t="str">
        <f>IF(C8="","",SUBSTITUTE(LEFT(C8,FIND(" ",C8)-1),"-",""))</f>
        <v/>
      </c>
      <c r="E8" t="str">
        <f>IF(C8="","",IFERROR(IFERROR(VALUE(SUBSTITUTE(MID(C8,FIND(" ",C8),FIND("/",C8)-FIND(" ",C8))," ","")),IF(FIND("B",UPPER(C8)),VALUE(MID(C8,FIND(" ",C8),FIND("B",UPPER(C8))-FIND(" ",C8))),"")),""))</f>
        <v/>
      </c>
      <c r="F8" t="str">
        <f>IF(C8="","",IFERROR(IFERROR(VALUE(SUBSTITUTE(RIGHT(C8,LEN(C8)-FIND("/",C8))," ","")),IF(FIND("O",UPPER(C8)),VALUE(MID(C8,FIND(" ",C8),FIND("O",UPPER(C8))-FIND(" ",C8))),"")),""))</f>
        <v/>
      </c>
      <c r="G8" t="str">
        <f>IF(C8="","",IF(G7="",IF(G6="","",G6),G7))</f>
        <v/>
      </c>
      <c r="I8" t="str">
        <f>IFERROR(IF(C8="","",IF(E8=INDEX(O:O,MATCH(D8,N:N,0)),"",INDEX(O:O,MATCH(D8,N:N,0))&amp; " bid")&amp;IF(F8=INDEX(P:P,MATCH(D8,N:N,0)),"",IF(E8=INDEX(O:O,MATCH(D8,N:N,0)),INDEX(P:P,MATCH(D8,N:N,0))&amp;" offer"," / "&amp;INDEX(P:P,MATCH(D8,N:N,0))&amp;" offer"))),"")</f>
        <v/>
      </c>
      <c r="J8" t="str">
        <f>IF(C8="","",IF(I8="",C8,C8&amp;" -&gt; "&amp;I8))</f>
        <v/>
      </c>
      <c r="L8" t="str">
        <f>IF(AND(E8=$O$5,COUNTIF(E:E,$O$5)=1),"Best bid solo","") &amp; " " &amp; IF(AND(F8=$P$5,COUNTIF(F:F,$P$5)=1),"Best offer solo","")</f>
        <v xml:space="preserve"> </v>
      </c>
      <c r="N8" s="89" t="s">
        <v>2</v>
      </c>
      <c r="O8" s="97">
        <f>_xlfn.MAXIFS(E:E,D:D,N8)</f>
        <v>26.5</v>
      </c>
      <c r="P8" s="69">
        <f>_xlfn.MINIFS(F:F,D:D,N8)</f>
        <v>28.5</v>
      </c>
      <c r="Q8" s="148" t="str">
        <f>COUNTIF(E:E,O8) &amp; " (" &amp;_xlfn.TEXTJOIN("/",TRUE,Y5:Y1048576)&amp; ")"</f>
        <v>1 (Barc)</v>
      </c>
      <c r="R8" s="115" t="str">
        <f>COUNTIF(F:F,P8)&amp; " (" &amp;_xlfn.TEXTJOIN("/",TRUE,AL5:AL1048576)&amp; ")"</f>
        <v>1 (Barc)</v>
      </c>
      <c r="S8" t="str">
        <f t="shared" si="5"/>
        <v/>
      </c>
      <c r="U8" s="68"/>
      <c r="X8" s="9"/>
      <c r="Y8" s="9"/>
      <c r="Z8" s="10"/>
      <c r="AA8" s="10"/>
      <c r="AB8" s="10"/>
      <c r="AC8" s="10"/>
      <c r="AD8" s="10"/>
      <c r="AE8" s="10"/>
      <c r="AF8" s="121"/>
      <c r="AG8" s="10"/>
      <c r="AH8" s="68"/>
      <c r="AK8" s="9"/>
      <c r="AL8" s="9"/>
      <c r="AM8" s="10"/>
      <c r="AS8" s="69"/>
      <c r="AT8" s="2" t="str">
        <f t="shared" si="6"/>
        <v>Dec26 (1) 33/35 (1)</v>
      </c>
    </row>
    <row r="9" spans="2:46" ht="21" customHeight="1" x14ac:dyDescent="0.25">
      <c r="B9" s="20" t="s">
        <v>56</v>
      </c>
      <c r="D9" t="str">
        <f t="shared" ref="D9:D18" si="7">IF(C9="","",SUBSTITUTE(LEFT(C9,FIND(" ",C9)-1),"-",""))</f>
        <v/>
      </c>
      <c r="E9" t="str">
        <f t="shared" ref="E9:E14" si="8">IF(C9="","",IFERROR(IFERROR(VALUE(SUBSTITUTE(MID(C9,FIND(" ",C9),FIND("/",C9)-FIND(" ",C9))," ","")),IF(FIND("B",UPPER(C9)),VALUE(MID(C9,FIND(" ",C9),FIND("B",UPPER(C9))-FIND(" ",C9))),"")),""))</f>
        <v/>
      </c>
      <c r="F9" t="str">
        <f t="shared" ref="F9:F14" si="9">IF(C9="","",IFERROR(IFERROR(VALUE(SUBSTITUTE(RIGHT(C9,LEN(C9)-FIND("/",C9))," ","")),IF(FIND("O",UPPER(C9)),VALUE(MID(C9,FIND(" ",C9),FIND("O",UPPER(C9))-FIND(" ",C9))),"")),""))</f>
        <v/>
      </c>
      <c r="G9" t="str">
        <f t="shared" ref="G9:G14" si="10">IF(C9="","",IF(G8="",IF(G7="","",G7),G8))</f>
        <v/>
      </c>
      <c r="I9" t="str">
        <f>IFERROR(IF(C9="","",IF(E9=INDEX(O:O,MATCH(D9,N:N,0)),"",INDEX(O:O,MATCH(D9,N:N,0))&amp; " bid")&amp;IF(F9=INDEX(P:P,MATCH(D9,N:N,0)),"",IF(E9=INDEX(O:O,MATCH(D9,N:N,0)),INDEX(P:P,MATCH(D9,N:N,0))&amp;" offer"," / "&amp;INDEX(P:P,MATCH(D9,N:N,0))&amp;" offer"))),"")</f>
        <v/>
      </c>
      <c r="J9" t="str">
        <f>IF(C9="","",IF(I9="",C9,C9&amp;" -&gt; "&amp;I9))</f>
        <v/>
      </c>
      <c r="L9" t="str">
        <f>IF(AND(E9=$O$5,COUNTIF(E:E,$O$5)=1),"Best bid solo","") &amp; " " &amp; IF(AND(F9=$P$5,COUNTIF(F:F,$P$5)=1),"Best offer solo","")</f>
        <v xml:space="preserve"> </v>
      </c>
      <c r="N9" s="89" t="s">
        <v>3</v>
      </c>
      <c r="O9" s="97">
        <f>_xlfn.MAXIFS(E:E,D:D,N9)</f>
        <v>33</v>
      </c>
      <c r="P9" s="69">
        <f>_xlfn.MINIFS(F:F,D:D,N9)</f>
        <v>35</v>
      </c>
      <c r="Q9" s="148" t="str">
        <f>COUNTIF(E:E,O9) &amp; " (" &amp;_xlfn.TEXTJOIN("/",TRUE,Z5:Z11)&amp; ")"</f>
        <v>1 (Barc)</v>
      </c>
      <c r="R9" s="115" t="str">
        <f>COUNTIF(F:F,P9)&amp; " (" &amp;_xlfn.TEXTJOIN("/",TRUE,AM5:AM1048576)&amp; ")"</f>
        <v>1 (Barc)</v>
      </c>
      <c r="S9" t="str">
        <f t="shared" si="5"/>
        <v/>
      </c>
      <c r="U9" s="68"/>
      <c r="X9" s="9"/>
      <c r="Y9" s="9"/>
      <c r="Z9" s="10"/>
      <c r="AF9" s="69"/>
      <c r="AH9" s="68"/>
      <c r="AK9" s="9"/>
      <c r="AL9" s="9"/>
      <c r="AS9" s="69"/>
      <c r="AT9" s="2" t="str">
        <f t="shared" si="6"/>
        <v>Dec27 (1) 39.5/41.5 (1)</v>
      </c>
    </row>
    <row r="10" spans="2:46" ht="21" customHeight="1" thickBot="1" x14ac:dyDescent="0.3">
      <c r="B10" s="20" t="s">
        <v>49</v>
      </c>
      <c r="C10" s="36"/>
      <c r="D10" t="str">
        <f t="shared" si="7"/>
        <v/>
      </c>
      <c r="E10" t="str">
        <f t="shared" si="8"/>
        <v/>
      </c>
      <c r="F10" t="str">
        <f t="shared" si="9"/>
        <v/>
      </c>
      <c r="G10" t="str">
        <f t="shared" si="10"/>
        <v/>
      </c>
      <c r="I10" t="str">
        <f>IFERROR(IF(C10="","",IF(E10=INDEX(O:O,MATCH(D10,N:N,0)),"",INDEX(O:O,MATCH(D10,N:N,0))&amp; " bid")&amp;IF(F10=INDEX(P:P,MATCH(D10,N:N,0)),"",IF(E10=INDEX(O:O,MATCH(D10,N:N,0)),INDEX(P:P,MATCH(D10,N:N,0))&amp;" offer"," / "&amp;INDEX(P:P,MATCH(D10,N:N,0))&amp;" offer"))),"")</f>
        <v/>
      </c>
      <c r="J10" t="str">
        <f>IF(C10="","",IF(I10="",C10,C10&amp;" -&gt; "&amp;I10))</f>
        <v/>
      </c>
      <c r="L10" t="str">
        <f>IF(AND(E10=$O$5,COUNTIF(E:E,$O$5)=1),"Best bid solo","") &amp; " " &amp; IF(AND(F10=$P$5,COUNTIF(F:F,$P$5)=1),"Best offer solo","")</f>
        <v xml:space="preserve"> </v>
      </c>
      <c r="N10" s="89" t="s">
        <v>4</v>
      </c>
      <c r="O10" s="97">
        <f>_xlfn.MAXIFS(E:E,D:D,N10)</f>
        <v>39.5</v>
      </c>
      <c r="P10" s="69">
        <f>_xlfn.MINIFS(F:F,D:D,N10)</f>
        <v>41.5</v>
      </c>
      <c r="Q10" s="148" t="str">
        <f>COUNTIF(E:E,O10) &amp; " (" &amp;_xlfn.TEXTJOIN("/",TRUE,AA5:AA1048576)&amp; ")"</f>
        <v>1 (Barc)</v>
      </c>
      <c r="R10" s="115" t="str">
        <f>COUNTIF(F:F,P10)&amp; " (" &amp;_xlfn.TEXTJOIN("/",TRUE,AN5:AN1048576)&amp; ")"</f>
        <v>1 (Barc)</v>
      </c>
      <c r="S10" t="str">
        <f t="shared" si="5"/>
        <v/>
      </c>
      <c r="U10" s="70"/>
      <c r="V10" s="71"/>
      <c r="W10" s="71"/>
      <c r="X10" s="120"/>
      <c r="Y10" s="120"/>
      <c r="Z10" s="122"/>
      <c r="AA10" s="71"/>
      <c r="AB10" s="71"/>
      <c r="AC10" s="71"/>
      <c r="AD10" s="71"/>
      <c r="AE10" s="71"/>
      <c r="AF10" s="72"/>
      <c r="AH10" s="70"/>
      <c r="AI10" s="71"/>
      <c r="AJ10" s="71"/>
      <c r="AK10" s="120"/>
      <c r="AL10" s="120"/>
      <c r="AM10" s="71"/>
      <c r="AN10" s="71"/>
      <c r="AO10" s="71"/>
      <c r="AP10" s="71"/>
      <c r="AQ10" s="71"/>
      <c r="AR10" s="71"/>
      <c r="AS10" s="72"/>
      <c r="AT10" s="2" t="str">
        <f t="shared" si="6"/>
        <v>Dec28 (1) 46.5/48.5 (1)</v>
      </c>
    </row>
    <row r="11" spans="2:46" ht="21" customHeight="1" x14ac:dyDescent="0.25">
      <c r="B11" s="20" t="s">
        <v>20</v>
      </c>
      <c r="D11" t="str">
        <f t="shared" si="7"/>
        <v/>
      </c>
      <c r="E11" t="str">
        <f t="shared" si="8"/>
        <v/>
      </c>
      <c r="F11" t="str">
        <f t="shared" si="9"/>
        <v/>
      </c>
      <c r="G11" t="str">
        <f t="shared" si="10"/>
        <v/>
      </c>
      <c r="I11" t="str">
        <f>IFERROR(IF(C11="","",IF(E11=INDEX(O:O,MATCH(D11,N:N,0)),"",INDEX(O:O,MATCH(D11,N:N,0))&amp; " bid")&amp;IF(F11=INDEX(P:P,MATCH(D11,N:N,0)),"",IF(E11=INDEX(O:O,MATCH(D11,N:N,0)),INDEX(P:P,MATCH(D11,N:N,0))&amp;" offer"," / "&amp;INDEX(P:P,MATCH(D11,N:N,0))&amp;" offer"))),"")</f>
        <v/>
      </c>
      <c r="J11" t="str">
        <f t="shared" ref="J11:J14" si="11">IF(C11="","",IF(I11="",C11,C11&amp;" -&gt; "&amp;I11))</f>
        <v/>
      </c>
      <c r="L11" t="str">
        <f>IF(AND(E11=$O$5,COUNTIF(E:E,$O$5)=1),"Best bid solo","") &amp; " " &amp; IF(AND(F11=$P$5,COUNTIF(F:F,$P$5)=1),"Best offer solo","")</f>
        <v xml:space="preserve"> </v>
      </c>
      <c r="N11" s="89" t="s">
        <v>5</v>
      </c>
      <c r="O11" s="97">
        <f>_xlfn.MAXIFS(E:E,D:D,N11)</f>
        <v>46.5</v>
      </c>
      <c r="P11" s="69">
        <f>_xlfn.MINIFS(F:F,D:D,N11)</f>
        <v>48.5</v>
      </c>
      <c r="Q11" s="148" t="str">
        <f>COUNTIF(E:E,O11)&amp; " (" &amp;_xlfn.TEXTJOIN("/",TRUE,AB5:AB1048576)&amp; ")"</f>
        <v>1 (Barc)</v>
      </c>
      <c r="R11" s="115" t="str">
        <f>COUNTIF(F:F,P11)&amp; " (" &amp;_xlfn.TEXTJOIN("/",TRUE,AO5:AO1048576)&amp; ")"</f>
        <v>1 (Barc)</v>
      </c>
      <c r="S11" t="str">
        <f t="shared" si="5"/>
        <v/>
      </c>
      <c r="AT11" s="6" t="str">
        <f t="shared" si="6"/>
        <v>Dec29 (1) 53.5/56.5 (1)</v>
      </c>
    </row>
    <row r="12" spans="2:46" ht="21" customHeight="1" x14ac:dyDescent="0.25">
      <c r="B12" s="20" t="s">
        <v>21</v>
      </c>
      <c r="D12" t="str">
        <f t="shared" si="7"/>
        <v/>
      </c>
      <c r="E12" t="str">
        <f t="shared" si="8"/>
        <v/>
      </c>
      <c r="F12" t="str">
        <f t="shared" si="9"/>
        <v/>
      </c>
      <c r="G12" t="str">
        <f t="shared" si="10"/>
        <v/>
      </c>
      <c r="I12" t="str">
        <f>IFERROR(IF(C12="","",IF(E12=INDEX(O:O,MATCH(D12,N:N,0)),"",INDEX(O:O,MATCH(D12,N:N,0))&amp; " bid")&amp;IF(F12=INDEX(P:P,MATCH(D12,N:N,0)),"",IF(E12=INDEX(O:O,MATCH(D12,N:N,0)),INDEX(P:P,MATCH(D12,N:N,0))&amp;" offer"," / "&amp;INDEX(P:P,MATCH(D12,N:N,0))&amp;" offer"))),"")</f>
        <v/>
      </c>
      <c r="J12" t="str">
        <f t="shared" si="11"/>
        <v/>
      </c>
      <c r="L12" t="str">
        <f>IF(AND(E12=$O$5,COUNTIF(E:E,$O$5)=1),"Best bid solo","") &amp; " " &amp; IF(AND(F12=$P$5,COUNTIF(F:F,$P$5)=1),"Best offer solo","")</f>
        <v xml:space="preserve"> </v>
      </c>
      <c r="N12" s="89" t="s">
        <v>6</v>
      </c>
      <c r="O12" s="97">
        <f>_xlfn.MAXIFS(E:E,D:D,N12)</f>
        <v>53.5</v>
      </c>
      <c r="P12" s="69">
        <f>_xlfn.MINIFS(F:F,D:D,N12)</f>
        <v>56.5</v>
      </c>
      <c r="Q12" s="148" t="str">
        <f>COUNTIF(E:E,O12)&amp; " (" &amp;_xlfn.TEXTJOIN("/",TRUE,AC5:AC1048576)&amp; ")"</f>
        <v>1 (Barc)</v>
      </c>
      <c r="R12" s="115" t="str">
        <f>COUNTIF(F:F,P12)&amp; " (" &amp;_xlfn.TEXTJOIN("/",TRUE,AP5:AP1048576)&amp; ")"</f>
        <v>1 (Barc)</v>
      </c>
      <c r="S12" t="str">
        <f t="shared" si="5"/>
        <v/>
      </c>
      <c r="AT12" s="6" t="str">
        <f t="shared" si="6"/>
        <v>Dec30 (1) 60/64 (1)</v>
      </c>
    </row>
    <row r="13" spans="2:46" ht="21" customHeight="1" x14ac:dyDescent="0.25">
      <c r="B13" s="20"/>
      <c r="D13" t="str">
        <f t="shared" si="7"/>
        <v/>
      </c>
      <c r="E13" t="str">
        <f t="shared" si="8"/>
        <v/>
      </c>
      <c r="F13" t="str">
        <f t="shared" si="9"/>
        <v/>
      </c>
      <c r="G13" t="str">
        <f t="shared" si="10"/>
        <v/>
      </c>
      <c r="I13" t="str">
        <f>IFERROR(IF(C13="","",IF(E13=INDEX(O:O,MATCH(D13,N:N,0)),"",INDEX(O:O,MATCH(D13,N:N,0))&amp; " bid")&amp;IF(F13=INDEX(P:P,MATCH(D13,N:N,0)),"",IF(E13=INDEX(O:O,MATCH(D13,N:N,0)),INDEX(P:P,MATCH(D13,N:N,0))&amp;" offer"," / "&amp;INDEX(P:P,MATCH(D13,N:N,0))&amp;" offer"))),"")</f>
        <v/>
      </c>
      <c r="J13" t="str">
        <f t="shared" si="11"/>
        <v/>
      </c>
      <c r="L13" t="str">
        <f>IF(AND(E13=$O$5,COUNTIF(E:E,$O$5)=1),"Best bid solo","") &amp; " " &amp; IF(AND(F13=$P$5,COUNTIF(F:F,$P$5)=1),"Best offer solo","")</f>
        <v xml:space="preserve"> </v>
      </c>
      <c r="N13" s="89" t="s">
        <v>7</v>
      </c>
      <c r="O13" s="97">
        <f>_xlfn.MAXIFS(E:E,D:D,N13)</f>
        <v>60</v>
      </c>
      <c r="P13" s="69">
        <f>_xlfn.MINIFS(F:F,D:D,N13)</f>
        <v>64</v>
      </c>
      <c r="Q13" s="148" t="str">
        <f>COUNTIF(E:E,O13) &amp; " (" &amp;_xlfn.TEXTJOIN("/",TRUE,AD5:AD1048576)&amp; ")"</f>
        <v>1 (Barc)</v>
      </c>
      <c r="R13" s="115" t="str">
        <f>COUNTIF(F:F,P13)&amp; " (" &amp;_xlfn.TEXTJOIN("/",TRUE,AQ5:AQ1048576)&amp; ")"</f>
        <v>1 (Barc)</v>
      </c>
      <c r="S13" t="str">
        <f t="shared" si="5"/>
        <v/>
      </c>
      <c r="AT13" s="7" t="str">
        <f t="shared" si="6"/>
        <v>Dec31 (1) 66.5/72.5 (1)</v>
      </c>
    </row>
    <row r="14" spans="2:46" ht="21" customHeight="1" x14ac:dyDescent="0.25">
      <c r="B14" s="20" t="s">
        <v>17</v>
      </c>
      <c r="D14" t="str">
        <f t="shared" si="7"/>
        <v/>
      </c>
      <c r="E14" t="str">
        <f t="shared" si="8"/>
        <v/>
      </c>
      <c r="F14" t="str">
        <f t="shared" si="9"/>
        <v/>
      </c>
      <c r="G14" t="str">
        <f t="shared" si="10"/>
        <v/>
      </c>
      <c r="I14" t="str">
        <f>IFERROR(IF(C14="","",IF(E14=INDEX(O:O,MATCH(D14,N:N,0)),"",INDEX(O:O,MATCH(D14,N:N,0))&amp; " bid")&amp;IF(F14=INDEX(P:P,MATCH(D14,N:N,0)),"",IF(E14=INDEX(O:O,MATCH(D14,N:N,0)),INDEX(P:P,MATCH(D14,N:N,0))&amp;" offer"," / "&amp;INDEX(P:P,MATCH(D14,N:N,0))&amp;" offer"))),"")</f>
        <v/>
      </c>
      <c r="J14" t="str">
        <f t="shared" si="11"/>
        <v/>
      </c>
      <c r="L14" t="str">
        <f>IF(AND(E14=$O$5,COUNTIF(E:E,$O$5)=1),"Best bid solo","") &amp; " " &amp; IF(AND(F14=$P$5,COUNTIF(F:F,$P$5)=1),"Best offer solo","")</f>
        <v xml:space="preserve"> </v>
      </c>
      <c r="N14" s="116" t="s">
        <v>8</v>
      </c>
      <c r="O14" s="130">
        <f>_xlfn.MAXIFS(E:E,D:D,N14)</f>
        <v>66.5</v>
      </c>
      <c r="P14" s="145">
        <f>_xlfn.MINIFS(F:F,D:D,N14)</f>
        <v>72.5</v>
      </c>
      <c r="Q14" s="149" t="str">
        <f>COUNTIF(E:E,O14) &amp; " (" &amp;_xlfn.TEXTJOIN("/",TRUE,AE5:AE1048576)&amp; ")"</f>
        <v>1 (Barc)</v>
      </c>
      <c r="R14" s="147" t="str">
        <f>COUNTIF(F:F,P14) &amp; " (" &amp;_xlfn.TEXTJOIN("/",TRUE,AR5:AR1048576)&amp; ")"</f>
        <v>1 (Barc)</v>
      </c>
      <c r="S14" t="str">
        <f t="shared" si="5"/>
        <v/>
      </c>
    </row>
    <row r="15" spans="2:46" ht="21" customHeight="1" thickBot="1" x14ac:dyDescent="0.3">
      <c r="D15" s="36"/>
      <c r="I15" t="str">
        <f>IFERROR(IF(C15="","",IF(E15=INDEX(O:O,MATCH(D15,N:N,0)),"you are best bid "&amp;IF(INDEX(Q:Q,MATCH(D15,N:N,0))-1=0,"","("&amp;INDEX(Q:Q,MATCH(D15,N:N,0))-1&amp;" with you)"),INDEX(O:O,MATCH(D15,N:N,0))&amp; " bid")&amp;" / "&amp;IF(F15=INDEX(P:P,MATCH(D15,N:N,0)),"you are best offer "&amp;IF(INDEX(R:R,MATCH(D15,N:N,0))-1=0,"","("&amp;INDEX(R:R,MATCH(D15,N:N,0))-1&amp;" with you)"),INDEX(P:P,MATCH(D15,N:N,0))&amp;" offer")),"")</f>
        <v/>
      </c>
      <c r="J15" t="str">
        <f>IFERROR(IF(I15="","",D15&amp;" "&amp;INDEX(O:O,MATCH(D15,N:N,0))&amp;" / "&amp;INDEX(P:P,MATCH(D15,N:N,0))&amp;" : "&amp;I15),C15)</f>
        <v/>
      </c>
      <c r="N15" s="146" t="s">
        <v>134</v>
      </c>
      <c r="O15" s="104">
        <f>_xlfn.MAXIFS(E:E,D:D,N15)</f>
        <v>0</v>
      </c>
      <c r="P15" s="72">
        <f>_xlfn.MINIFS(F:F,D:D,N15)</f>
        <v>0</v>
      </c>
      <c r="Q15" s="150" t="e" vm="1">
        <f>COUNTIF(E:E,O15) &amp; " (" &amp;_xlfn.TEXTJOIN("/",TRUE,AF5:AF1048576)&amp; ")"</f>
        <v>#VALUE!</v>
      </c>
      <c r="R15" s="151" t="e" vm="1">
        <f>COUNTIF(F:F,P15) &amp; " (" &amp;_xlfn.TEXTJOIN("/",TRUE,AS5:AS1048576)&amp; ")"</f>
        <v>#VALUE!</v>
      </c>
    </row>
    <row r="16" spans="2:46" ht="21" customHeight="1" thickBot="1" x14ac:dyDescent="0.3">
      <c r="D16" s="36" t="str">
        <f t="shared" si="7"/>
        <v/>
      </c>
      <c r="E16" s="36"/>
      <c r="F16" s="36"/>
      <c r="G16" s="36"/>
      <c r="H16" s="37"/>
      <c r="I16" s="38"/>
      <c r="J16" s="129" t="str">
        <f>IF(B17="BNP","Ton feedback Hugo",IF(B17="JP","Ton feedback Tomasz",IF(B17="Barc","Your feedback Nathaniel",IF(B17="GS","Your feedback Ken-Ji",""))))</f>
        <v>Ton feedback Hugo</v>
      </c>
      <c r="K16" s="157" t="str">
        <f>J16</f>
        <v>Ton feedback Hugo</v>
      </c>
      <c r="S16" s="55" t="str">
        <f>"Previous "&amp;B17&amp;" Run"</f>
        <v>Previous BNP Run</v>
      </c>
      <c r="T16" s="56" t="s">
        <v>36</v>
      </c>
    </row>
    <row r="17" spans="2:46" ht="21" customHeight="1" thickBot="1" x14ac:dyDescent="0.3">
      <c r="B17" s="127" t="s">
        <v>16</v>
      </c>
      <c r="C17" s="128"/>
      <c r="D17" s="81" t="str">
        <f t="shared" si="7"/>
        <v/>
      </c>
      <c r="E17" s="81" t="str">
        <f t="shared" ref="E17:E18" si="12">IF(C17="","",IFERROR(IFERROR(VALUE(SUBSTITUTE(MID(C17,FIND(" ",C17),FIND("/",C17)-FIND(" ",C17))," ","")),IF(FIND("B",UPPER(C17)),VALUE(MID(C17,FIND(" ",C17),FIND("B",UPPER(C17))-FIND(" ",C17))),"")),""))</f>
        <v/>
      </c>
      <c r="F17" s="81" t="str">
        <f t="shared" ref="F17:F18" si="13">IF(C17="","",IFERROR(IFERROR(VALUE(SUBSTITUTE(RIGHT(C17,LEN(C17)-FIND("/",C17))," ","")),IF(FIND("O",UPPER(C17)),VALUE(MID(C17,FIND(" ",C17),FIND("O",UPPER(C17))-FIND(" ",C17))),"")),""))</f>
        <v/>
      </c>
      <c r="G17" s="81" t="str">
        <f>IF(C17="","",VALUE(SUBSTITUTE(SUBSTITUTE(SUBSTITUTE(SUBSTITUTE(SUBSTITUTE(RIGHT(C17,LEN(C17)-FIND("vs",C17)+1),"basis",""),"vs.","")," ",""),":",""),"vs","")))</f>
        <v/>
      </c>
      <c r="H17" s="42" t="s">
        <v>13</v>
      </c>
      <c r="I17" s="131" t="s">
        <v>14</v>
      </c>
      <c r="J17" s="1">
        <f>C17</f>
        <v>0</v>
      </c>
      <c r="K17" s="97">
        <f>C17</f>
        <v>0</v>
      </c>
      <c r="N17" s="159" t="str">
        <f>"Tightest SX5E TRF" &amp;IF(N32="GO"," vs "&amp;IF(IF(IF(IF(G34="",G17,G34)="",G51,IF(G34="",G17,G34))="",G68,IF(IF(G34="",G17,G34)="",G51,IF(G34="",G17,G34)))="",G85,IF(IF(IF(G34="",G17,G34)="",G51,IF(G34="",G17,G34))="",G68,IF(IF(G34="",G17,G34)="",G51,IF(G34="",G17,G34)))),"")</f>
        <v>Tightest SX5E TRF vs 6.125</v>
      </c>
      <c r="S17" s="6" t="s">
        <v>116</v>
      </c>
      <c r="T17" s="6"/>
      <c r="V17" s="44" t="str">
        <f>IF(S17="","",SUBSTITUTE(LEFT(S17,FIND(" ",S17)-1),"-",""))</f>
        <v>SX5E</v>
      </c>
      <c r="W17" s="12" t="str">
        <f>IF(S17="","",IFERROR(IFERROR(VALUE(SUBSTITUTE(MID(S17,FIND(" ",S17),FIND("/",S17)-FIND(" ",S17))," ","")),IF(FIND("B",UPPER(S17)),VALUE(MID(S17,FIND(" ",S17),FIND("B",UPPER(S17))-FIND(" ",S17))),"")),""))</f>
        <v/>
      </c>
      <c r="X17" s="14" t="str">
        <f>IF(S17="","",IFERROR(IFERROR(VALUE(SUBSTITUTE(RIGHT(S17,LEN(S17)-FIND("/",S17))," ","")),IF(FIND("O",UPPER(S17)),VALUE(MID(S17,FIND(" ",S17),FIND("O",UPPER(S17))-FIND(" ",S17))),"")),""))</f>
        <v/>
      </c>
      <c r="AT17" s="20" t="s">
        <v>50</v>
      </c>
    </row>
    <row r="18" spans="2:46" ht="21" customHeight="1" x14ac:dyDescent="0.25">
      <c r="B18" s="68" t="str">
        <f t="shared" ref="B18" si="14">IF(C18="","",IF(B17="",IF(B16="","",B16),B17))</f>
        <v/>
      </c>
      <c r="C18" s="34"/>
      <c r="D18" s="36" t="str">
        <f t="shared" si="7"/>
        <v/>
      </c>
      <c r="E18" t="str">
        <f t="shared" si="12"/>
        <v/>
      </c>
      <c r="F18" t="str">
        <f t="shared" si="13"/>
        <v/>
      </c>
      <c r="G18" t="str">
        <f>IF(C18="","",IF(G17="",IF(G16="","",G16),G17))</f>
        <v/>
      </c>
      <c r="H18" s="6" t="str">
        <f>IFERROR(IF(C18="","",IF(E18=INDEX(O:O,MATCH(D18,N:N,0)),"best bid "&amp;IF(LEFT(INDEX(Q:Q,MATCH(D18,N:N,0)),1)-1=0,"","("&amp;LEFT(INDEX(Q:Q,MATCH(D18,N:N,0)),1)-1&amp;" with you)"),INDEX(O:O,MATCH(D18,N:N,0))&amp; " bid")&amp;" / "&amp;IF(F18=INDEX(P:P,MATCH(D18,N:N,0)),"best offer "&amp;IF(LEFT(INDEX(R:R,MATCH(D18,N:N,0)),1)-1=0,"","("&amp;LEFT(INDEX(R:R,MATCH(D18,N:N,0)),1)-1&amp;" with you)"),INDEX(P:P,MATCH(D18,N:N,0))&amp;" offer")),"")</f>
        <v/>
      </c>
      <c r="I18" s="47" t="str">
        <f>IFERROR(IF(C18="","",IF(E18=INDEX(O:O,MATCH(D18,N:N,0)),"",INDEX(O:O,MATCH(D18,N:N,0))&amp; " bid")&amp;IF(F18=INDEX(P:P,MATCH(D18,N:N,0)),"",IF(E18=INDEX(O:O,MATCH(D18,N:N,0)),INDEX(P:P,MATCH(D18,N:N,0))&amp;" offer"," / "&amp;INDEX(P:P,MATCH(D18,N:N,0))&amp;" offer"))),"")</f>
        <v/>
      </c>
      <c r="J18" s="1" t="str">
        <f>IF(B18&lt;&gt;"JP",IF(C18="","",IF(I18="",C18,C18&amp;" -&gt; "&amp;I18)),IF(C18="","",IF(H18="",C18,C18&amp;" -&gt; "&amp;H18)))</f>
        <v/>
      </c>
      <c r="K18" s="97" t="str">
        <f>IF(C18="","",IF(I18="",C18,C18&amp;" -&gt; "&amp;I18))</f>
        <v/>
      </c>
      <c r="N18" s="160" t="str">
        <f>IFERROR(IF(Q4="","",N4&amp;" "&amp;O4&amp;" / "&amp;P4),"")</f>
        <v/>
      </c>
      <c r="O18" t="str">
        <f>IF(N18&lt;&gt;"","{EU} "&amp; SUBSTITUTE(SUBSTITUTE($N$17,"Tightest ",""),"run ","") &amp; " " &amp;N18,"")</f>
        <v/>
      </c>
      <c r="S18" s="6"/>
      <c r="T18" s="6" t="str">
        <f>IF(W18&lt;E18, "Better Bid | ",IF(W18&gt;E18,"Worse bid | ","")) &amp; IF(X18&gt;F18,"Better offer",IF(X18&lt;F18,"Worse offer",""))</f>
        <v/>
      </c>
      <c r="V18" s="1" t="str">
        <f>IF(S18="","",SUBSTITUTE(LEFT(S18,FIND(" ",S18)-1),"-",""))</f>
        <v/>
      </c>
      <c r="W18" t="str">
        <f>IF(S18="","",IFERROR(IFERROR(VALUE(SUBSTITUTE(MID(S18,FIND(" ",S18),FIND("/",S18)-FIND(" ",S18))," ","")),IF(FIND("B",UPPER(S18)),VALUE(MID(S18,FIND(" ",S18),FIND("B",UPPER(S18))-FIND(" ",S18))),"")),""))</f>
        <v/>
      </c>
      <c r="X18" s="2" t="str">
        <f>IF(S18="","",IFERROR(IFERROR(VALUE(SUBSTITUTE(RIGHT(S18,LEN(S18)-FIND("/",S18))," ","")),IF(FIND("O",UPPER(S18)),VALUE(MID(S18,FIND(" ",S18),FIND("O",UPPER(S18))-FIND(" ",S18))),"")),""))</f>
        <v/>
      </c>
      <c r="AT18" t="str">
        <f>"SX5E TRF spread "&amp;$N$6&amp;" fixed at " &amp;AVERAGE($O$6:$P$6) &amp;" vs "&amp;N21</f>
        <v>SX5E TRF spread Dec23 fixed at 17 vs Dec24 21 / 23</v>
      </c>
    </row>
    <row r="19" spans="2:46" ht="21" customHeight="1" x14ac:dyDescent="0.25">
      <c r="B19" s="68" t="str">
        <f>IF(C19="","",IF(B18="",IF(B17="","",B17),B18))</f>
        <v/>
      </c>
      <c r="C19" s="34"/>
      <c r="D19" s="36" t="str">
        <f t="shared" ref="D19" si="15">IF(C19="","",SUBSTITUTE(SUBSTITUTE(LEFT(C19,FIND(" ",C19)-1),"-",""),":",""))</f>
        <v/>
      </c>
      <c r="E19" t="str">
        <f>IF(C19="","",IFERROR(IFERROR(VALUE(SUBSTITUTE(MID(C19,FIND(" ",C19),FIND("/",C19)-FIND(" ",C19))," ","")),IF(FIND("B",UPPER(C19)),VALUE(MID(C19,FIND(" ",C19),FIND("B",UPPER(C19))-FIND(" ",C19))),"")),""))</f>
        <v/>
      </c>
      <c r="F19" t="str">
        <f>IF(C19="","",IFERROR(IFERROR(VALUE(SUBSTITUTE(RIGHT(C19,LEN(C19)-FIND("/",C19))," ","")),IF(FIND("O",UPPER(C19)),VALUE(MID(C19,FIND(" ",C19),FIND("O",UPPER(C19))-FIND(" ",C19))),"")),""))</f>
        <v/>
      </c>
      <c r="G19" t="str">
        <f>IF(C19="","",IF(G18="",IF(G17="","",G17),G18))</f>
        <v/>
      </c>
      <c r="H19" s="6" t="str">
        <f>IFERROR(IF(C19="","",IF(E19=INDEX(O:O,MATCH(D19,N:N,0)),"best bid "&amp;IF(LEFT(INDEX(Q:Q,MATCH(D19,N:N,0)),1)-1=0,"","("&amp;LEFT(INDEX(Q:Q,MATCH(D19,N:N,0)),1)-1&amp;" with you)"),INDEX(O:O,MATCH(D19,N:N,0))&amp; " bid")&amp;" / "&amp;IF(F19=INDEX(P:P,MATCH(D19,N:N,0)),"best offer "&amp;IF(LEFT(INDEX(R:R,MATCH(D19,N:N,0)),1)-1=0,"","("&amp;LEFT(INDEX(R:R,MATCH(D19,N:N,0)),1)-1&amp;" with you)"),INDEX(P:P,MATCH(D19,N:N,0))&amp;" offer")),"")</f>
        <v/>
      </c>
      <c r="I19" s="6" t="str">
        <f>IFERROR(IF(C19="","",IF(E19=INDEX(O:O,MATCH(D19,N:N,0)),"",INDEX(O:O,MATCH(D19,N:N,0))&amp; " bid")&amp;IF(F19=INDEX(P:P,MATCH(D19,N:N,0)),"",IF(E19=INDEX(O:O,MATCH(D19,N:N,0)),INDEX(P:P,MATCH(D19,N:N,0))&amp;" offer"," / "&amp;INDEX(P:P,MATCH(D19,N:N,0))&amp;" offer"))),"")</f>
        <v/>
      </c>
      <c r="J19" s="1" t="str">
        <f>IF(C19="","",D19&amp;" "&amp;LEFT(U19,1)&amp;VLOOKUP(D19,$N$5:$P$14,2,FALSE)&amp;IF(E19&lt;&gt;VLOOKUP(D19,$N$5:$P$14,2,FALSE),"*","")&amp;RIGHT(U19,1)&amp;" / "&amp;LEFT(AT19,1)&amp;VLOOKUP(D19,$N$5:$P$14,3,FALSE)&amp;IF(F19&lt;&gt;VLOOKUP(D19,$N$5:$P$14,3,FALSE),"*","")&amp;RIGHT(AT19,1))</f>
        <v/>
      </c>
      <c r="K19" s="97" t="str">
        <f>IF(C19="","",IF(I19="",C19,C19&amp;" -&gt; "&amp;I19))</f>
        <v/>
      </c>
      <c r="L19" t="str">
        <f>IF(AND(E19=$O$5,COUNTIF(E:E,$O$5)=1),"Best bid solo","") &amp; " " &amp; IF(AND(F19=$P$5,COUNTIF(F:F,$P$5)=1),"Best offer solo","")</f>
        <v xml:space="preserve"> </v>
      </c>
      <c r="N19" s="160" t="str">
        <f>IFERROR(IF(Q5="","",N5&amp;" "&amp;O5&amp;" / "&amp;P5),"")</f>
        <v>Jun23 0 / 0</v>
      </c>
      <c r="O19" t="str">
        <f t="shared" ref="O19:O28" si="16">IF(N19&lt;&gt;"","{EU} "&amp; SUBSTITUTE(SUBSTITUTE($N$17,"Tightest ",""),"run ","") &amp; " " &amp;N19,"")</f>
        <v>{EU} SX5E TRF vs 6.125 Jun23 0 / 0</v>
      </c>
      <c r="S19" s="6" t="s">
        <v>117</v>
      </c>
      <c r="T19" s="6" t="str">
        <f t="shared" ref="T19:T26" si="17">IF(W19&lt;E19, "Better Bid | ",IF(W19&gt;E19,"Worse bid | ","")) &amp; IF(X19&gt;F19,"Better offer",IF(X19&lt;F19,"Worse offer",""))</f>
        <v>Better Bid | Worse offer</v>
      </c>
      <c r="V19" s="1" t="str">
        <f t="shared" ref="V19:V28" si="18">IF(S19="","",SUBSTITUTE(LEFT(S19,FIND(" ",S19)-1),"-",""))</f>
        <v>Dec23</v>
      </c>
      <c r="W19">
        <f t="shared" ref="W19:W28" si="19">IF(S19="","",IFERROR(IFERROR(VALUE(SUBSTITUTE(MID(S19,FIND(" ",S19),FIND("/",S19)-FIND(" ",S19))," ","")),IF(FIND("B",UPPER(S19)),VALUE(MID(S19,FIND(" ",S19),FIND("B",UPPER(S19))-FIND(" ",S19))),"")),""))</f>
        <v>12</v>
      </c>
      <c r="X19" s="2">
        <f t="shared" ref="X19:X28" si="20">IF(S19="","",IFERROR(IFERROR(VALUE(SUBSTITUTE(RIGHT(S19,LEN(S19)-FIND("/",S19))," ","")),IF(FIND("O",UPPER(S19)),VALUE(MID(S19,FIND(" ",S19),FIND("O",UPPER(S19))-FIND(" ",S19))),"")),""))</f>
        <v>15</v>
      </c>
      <c r="AT19" t="str">
        <f>"SX5E TRF spread "&amp;$N$6&amp;" fixed at " &amp;AVERAGE($O$6:$P$6) &amp;" vs "&amp;N22</f>
        <v>SX5E TRF spread Dec23 fixed at 17 vs Dec25 26.5 / 28.5</v>
      </c>
    </row>
    <row r="20" spans="2:46" ht="21" customHeight="1" x14ac:dyDescent="0.25">
      <c r="B20" s="68" t="str">
        <f t="shared" ref="B20:B28" si="21">IF(C20="","",IF(B19="",IF(B18="","",B18),B19))</f>
        <v/>
      </c>
      <c r="C20" s="34"/>
      <c r="D20" s="36" t="str">
        <f t="shared" ref="D20:D28" si="22">IF(C20="","",SUBSTITUTE(SUBSTITUTE(LEFT(C20,FIND(" ",C20)-1),"-",""),":",""))</f>
        <v/>
      </c>
      <c r="E20" t="str">
        <f t="shared" ref="E20:E28" si="23">IF(C20="","",IFERROR(IFERROR(VALUE(SUBSTITUTE(MID(C20,FIND(" ",C20),FIND("/",C20)-FIND(" ",C20))," ","")),IF(FIND("B",UPPER(C20)),VALUE(MID(C20,FIND(" ",C20),FIND("B",UPPER(C20))-FIND(" ",C20))),"")),""))</f>
        <v/>
      </c>
      <c r="F20" t="str">
        <f t="shared" ref="F20:F28" si="24">IF(C20="","",IFERROR(IFERROR(VALUE(SUBSTITUTE(RIGHT(C20,LEN(C20)-FIND("/",C20))," ","")),IF(FIND("O",UPPER(C20)),VALUE(MID(C20,FIND(" ",C20),FIND("O",UPPER(C20))-FIND(" ",C20))),"")),""))</f>
        <v/>
      </c>
      <c r="G20" t="str">
        <f t="shared" ref="G20:G28" si="25">IF(C20="","",IF(G19="",IF(G18="","",G18),G19))</f>
        <v/>
      </c>
      <c r="H20" s="6" t="str">
        <f>IFERROR(IF(C20="","",IF(E20=INDEX(O:O,MATCH(D20,N:N,0)),"best bid "&amp;IF(LEFT(INDEX(Q:Q,MATCH(D20,N:N,0)),1)-1=0,"","("&amp;LEFT(INDEX(Q:Q,MATCH(D20,N:N,0)),1)-1&amp;" with you)"),INDEX(O:O,MATCH(D20,N:N,0))&amp; " bid")&amp;" / "&amp;IF(F20=INDEX(P:P,MATCH(D20,N:N,0)),"best offer "&amp;IF(LEFT(INDEX(R:R,MATCH(D20,N:N,0)),1)-1=0,"","("&amp;LEFT(INDEX(R:R,MATCH(D20,N:N,0)),1)-1&amp;" with you)"),INDEX(P:P,MATCH(D20,N:N,0))&amp;" offer")),"")</f>
        <v/>
      </c>
      <c r="I20" s="6" t="str">
        <f>IFERROR(IF(C20="","",IF(E20=INDEX(O:O,MATCH(D20,N:N,0)),"",INDEX(O:O,MATCH(D20,N:N,0))&amp; " bid")&amp;IF(F20=INDEX(P:P,MATCH(D20,N:N,0)),"",IF(E20=INDEX(O:O,MATCH(D20,N:N,0)),INDEX(P:P,MATCH(D20,N:N,0))&amp;" offer"," / "&amp;INDEX(P:P,MATCH(D20,N:N,0))&amp;" offer"))),"")</f>
        <v/>
      </c>
      <c r="J20" s="1" t="str">
        <f t="shared" ref="J20:J31" si="26">IF(C20="","",D20&amp;" "&amp;LEFT(U20,1)&amp;VLOOKUP(D20,$N$5:$P$14,2,FALSE)&amp;IF(E20&lt;&gt;VLOOKUP(D20,$N$5:$P$14,2,FALSE),"*","")&amp;RIGHT(U20,1)&amp;" / "&amp;LEFT(AT20,1)&amp;VLOOKUP(D20,$N$5:$P$14,3,FALSE)&amp;IF(F20&lt;&gt;VLOOKUP(D20,$N$5:$P$14,3,FALSE),"*","")&amp;RIGHT(AT20,1))</f>
        <v/>
      </c>
      <c r="K20" s="97" t="str">
        <f t="shared" ref="K20:K31" si="27">IF(C20="","",IF(I20="",C20,C20&amp;" -&gt; "&amp;I20))</f>
        <v/>
      </c>
      <c r="L20" t="str">
        <f>IF(AND(E20=$O6,COUNTIF(E:E,$O6)=1),"Best bid solo","") &amp; " " &amp; IF(AND(F20=$P6,COUNTIF(F:F,$P6)=1),"Best offer solo","")</f>
        <v xml:space="preserve"> </v>
      </c>
      <c r="N20" s="160" t="str">
        <f>IFERROR(IF(Q6="","",N6&amp;" "&amp;O6&amp;" / "&amp;P6),"")</f>
        <v>Dec23 16 / 18</v>
      </c>
      <c r="O20" t="str">
        <f t="shared" si="16"/>
        <v>{EU} SX5E TRF vs 6.125 Dec23 16 / 18</v>
      </c>
      <c r="S20" s="6" t="s">
        <v>118</v>
      </c>
      <c r="T20" s="6" t="str">
        <f t="shared" si="17"/>
        <v>Better Bid | Worse offer</v>
      </c>
      <c r="V20" s="1" t="str">
        <f t="shared" si="18"/>
        <v>Dec24</v>
      </c>
      <c r="W20">
        <f t="shared" si="19"/>
        <v>20.5</v>
      </c>
      <c r="X20" s="2">
        <f t="shared" si="20"/>
        <v>23.5</v>
      </c>
      <c r="AT20" t="str">
        <f>"SX5E TRF spread "&amp;$N$6&amp;" fixed at " &amp;AVERAGE($O$6:$P$6) &amp;" vs "&amp;N23</f>
        <v>SX5E TRF spread Dec23 fixed at 17 vs Dec26 33 / 35</v>
      </c>
    </row>
    <row r="21" spans="2:46" ht="21" customHeight="1" x14ac:dyDescent="0.25">
      <c r="B21" s="68" t="str">
        <f t="shared" si="21"/>
        <v/>
      </c>
      <c r="C21" s="34"/>
      <c r="D21" s="36" t="str">
        <f t="shared" si="22"/>
        <v/>
      </c>
      <c r="E21" t="str">
        <f t="shared" si="23"/>
        <v/>
      </c>
      <c r="F21" t="str">
        <f t="shared" si="24"/>
        <v/>
      </c>
      <c r="G21" t="str">
        <f t="shared" si="25"/>
        <v/>
      </c>
      <c r="H21" s="6" t="str">
        <f>IFERROR(IF(C21="","",IF(E21=INDEX(O:O,MATCH(D21,N:N,0)),"best bid "&amp;IF(LEFT(INDEX(Q:Q,MATCH(D21,N:N,0)),1)-1=0,"","("&amp;LEFT(INDEX(Q:Q,MATCH(D21,N:N,0)),1)-1&amp;" with you)"),INDEX(O:O,MATCH(D21,N:N,0))&amp; " bid")&amp;" / "&amp;IF(F21=INDEX(P:P,MATCH(D21,N:N,0)),"best offer "&amp;IF(LEFT(INDEX(R:R,MATCH(D21,N:N,0)),1)-1=0,"","("&amp;LEFT(INDEX(R:R,MATCH(D21,N:N,0)),1)-1&amp;" with you)"),INDEX(P:P,MATCH(D21,N:N,0))&amp;" offer")),"")</f>
        <v/>
      </c>
      <c r="I21" s="6" t="str">
        <f>IFERROR(IF(C21="","",IF(E21=INDEX(O:O,MATCH(D21,N:N,0)),"",INDEX(O:O,MATCH(D21,N:N,0))&amp; " bid")&amp;IF(F21=INDEX(P:P,MATCH(D21,N:N,0)),"",IF(E21=INDEX(O:O,MATCH(D21,N:N,0)),INDEX(P:P,MATCH(D21,N:N,0))&amp;" offer"," / "&amp;INDEX(P:P,MATCH(D21,N:N,0))&amp;" offer"))),"")</f>
        <v/>
      </c>
      <c r="J21" s="1" t="str">
        <f t="shared" si="26"/>
        <v/>
      </c>
      <c r="K21" s="97" t="str">
        <f t="shared" si="27"/>
        <v/>
      </c>
      <c r="L21" t="str">
        <f>IF(AND(E21=$O7,COUNTIF(E:E,$O7)=1),"Best bid solo","") &amp; " " &amp; IF(AND(F21=$P7,COUNTIF(F:F,$P7)=1),"Best offer solo","")</f>
        <v xml:space="preserve"> </v>
      </c>
      <c r="N21" s="160" t="str">
        <f t="shared" ref="N21:N28" si="28">IFERROR(IF(Q7="","",N7&amp;" "&amp;O7&amp;" / "&amp;P7),"")</f>
        <v>Dec24 21 / 23</v>
      </c>
      <c r="O21" t="str">
        <f>IF(N21&lt;&gt;"","{EU} "&amp; SUBSTITUTE(SUBSTITUTE($N$17,"Tightest ",""),"run ","") &amp; " " &amp;N21,"")</f>
        <v>{EU} SX5E TRF vs 6.125 Dec24 21 / 23</v>
      </c>
      <c r="S21" s="6" t="s">
        <v>119</v>
      </c>
      <c r="T21" s="6" t="str">
        <f t="shared" si="17"/>
        <v>Better Bid | Worse offer</v>
      </c>
      <c r="V21" s="1" t="str">
        <f t="shared" si="18"/>
        <v>Dec25</v>
      </c>
      <c r="W21">
        <f t="shared" si="19"/>
        <v>29</v>
      </c>
      <c r="X21" s="2">
        <f t="shared" si="20"/>
        <v>32</v>
      </c>
      <c r="AT21" s="63"/>
    </row>
    <row r="22" spans="2:46" ht="21" customHeight="1" x14ac:dyDescent="0.25">
      <c r="B22" s="68" t="str">
        <f t="shared" si="21"/>
        <v/>
      </c>
      <c r="C22" s="34"/>
      <c r="D22" s="36" t="str">
        <f t="shared" si="22"/>
        <v/>
      </c>
      <c r="E22" t="str">
        <f t="shared" si="23"/>
        <v/>
      </c>
      <c r="F22" t="str">
        <f t="shared" si="24"/>
        <v/>
      </c>
      <c r="G22" t="str">
        <f t="shared" si="25"/>
        <v/>
      </c>
      <c r="H22" s="6" t="str">
        <f>IFERROR(IF(C22="","",IF(E22=INDEX(O:O,MATCH(D22,N:N,0)),"best bid "&amp;IF(LEFT(INDEX(Q:Q,MATCH(D22,N:N,0)),1)-1=0,"","("&amp;LEFT(INDEX(Q:Q,MATCH(D22,N:N,0)),1)-1&amp;" with you)"),INDEX(O:O,MATCH(D22,N:N,0))&amp; " bid")&amp;" / "&amp;IF(F22=INDEX(P:P,MATCH(D22,N:N,0)),"best offer "&amp;IF(LEFT(INDEX(R:R,MATCH(D22,N:N,0)),1)-1=0,"","("&amp;LEFT(INDEX(R:R,MATCH(D22,N:N,0)),1)-1&amp;" with you)"),INDEX(P:P,MATCH(D22,N:N,0))&amp;" offer")),"")</f>
        <v/>
      </c>
      <c r="I22" s="6" t="str">
        <f>IFERROR(IF(C22="","",IF(E22=INDEX(O:O,MATCH(D22,N:N,0)),"",INDEX(O:O,MATCH(D22,N:N,0))&amp; " bid")&amp;IF(F22=INDEX(P:P,MATCH(D22,N:N,0)),"",IF(E22=INDEX(O:O,MATCH(D22,N:N,0)),INDEX(P:P,MATCH(D22,N:N,0))&amp;" offer"," / "&amp;INDEX(P:P,MATCH(D22,N:N,0))&amp;" offer"))),"")</f>
        <v/>
      </c>
      <c r="J22" s="1" t="str">
        <f t="shared" si="26"/>
        <v/>
      </c>
      <c r="K22" s="97" t="str">
        <f t="shared" si="27"/>
        <v/>
      </c>
      <c r="L22" t="str">
        <f>IF(AND(E22=$O8,COUNTIF(E:E,$O8)=1),"Best bid solo","") &amp; " " &amp; IF(AND(F22=$P8,COUNTIF(F:F,$P8)=1),"Best offer solo","")</f>
        <v xml:space="preserve"> </v>
      </c>
      <c r="N22" s="160" t="str">
        <f t="shared" si="28"/>
        <v>Dec25 26.5 / 28.5</v>
      </c>
      <c r="O22" t="str">
        <f t="shared" si="16"/>
        <v>{EU} SX5E TRF vs 6.125 Dec25 26.5 / 28.5</v>
      </c>
      <c r="S22" s="6" t="s">
        <v>120</v>
      </c>
      <c r="T22" s="6" t="str">
        <f t="shared" si="17"/>
        <v>Better Bid | Worse offer</v>
      </c>
      <c r="V22" s="1" t="str">
        <f t="shared" si="18"/>
        <v>Dec26</v>
      </c>
      <c r="W22">
        <f t="shared" si="19"/>
        <v>36</v>
      </c>
      <c r="X22" s="2">
        <f t="shared" si="20"/>
        <v>39</v>
      </c>
      <c r="AT22" s="63"/>
    </row>
    <row r="23" spans="2:46" ht="21" customHeight="1" x14ac:dyDescent="0.25">
      <c r="B23" s="68" t="str">
        <f t="shared" si="21"/>
        <v/>
      </c>
      <c r="C23" s="34"/>
      <c r="D23" s="36" t="str">
        <f t="shared" si="22"/>
        <v/>
      </c>
      <c r="E23" t="str">
        <f t="shared" si="23"/>
        <v/>
      </c>
      <c r="F23" t="str">
        <f t="shared" si="24"/>
        <v/>
      </c>
      <c r="G23" t="str">
        <f t="shared" si="25"/>
        <v/>
      </c>
      <c r="H23" s="6" t="str">
        <f>IFERROR(IF(C23="","",IF(E23=INDEX(O:O,MATCH(D23,N:N,0)),"best bid "&amp;IF(LEFT(INDEX(Q:Q,MATCH(D23,N:N,0)),1)-1=0,"","("&amp;LEFT(INDEX(Q:Q,MATCH(D23,N:N,0)),1)-1&amp;" with you)"),INDEX(O:O,MATCH(D23,N:N,0))&amp; " bid")&amp;" / "&amp;IF(F23=INDEX(P:P,MATCH(D23,N:N,0)),"best offer "&amp;IF(LEFT(INDEX(R:R,MATCH(D23,N:N,0)),1)-1=0,"","("&amp;LEFT(INDEX(R:R,MATCH(D23,N:N,0)),1)-1&amp;" with you)"),INDEX(P:P,MATCH(D23,N:N,0))&amp;" offer")),"")</f>
        <v/>
      </c>
      <c r="I23" s="6" t="str">
        <f>IFERROR(IF(C23="","",IF(E23=INDEX(O:O,MATCH(D23,N:N,0)),"",INDEX(O:O,MATCH(D23,N:N,0))&amp; " bid")&amp;IF(F23=INDEX(P:P,MATCH(D23,N:N,0)),"",IF(E23=INDEX(O:O,MATCH(D23,N:N,0)),INDEX(P:P,MATCH(D23,N:N,0))&amp;" offer"," / "&amp;INDEX(P:P,MATCH(D23,N:N,0))&amp;" offer"))),"")</f>
        <v/>
      </c>
      <c r="J23" s="1" t="str">
        <f t="shared" si="26"/>
        <v/>
      </c>
      <c r="K23" s="97" t="str">
        <f t="shared" si="27"/>
        <v/>
      </c>
      <c r="L23" t="str">
        <f>IF(AND(E23=$O9,COUNTIF(E:E,$O9)=1),"Best bid solo","") &amp; " " &amp; IF(AND(F23=$P9,COUNTIF(F:F,$P9)=1),"Best offer solo","")</f>
        <v xml:space="preserve"> </v>
      </c>
      <c r="N23" s="160" t="str">
        <f>IFERROR(IF(Q9="","",N9&amp;" "&amp;O9&amp;" / "&amp;P9),"")</f>
        <v>Dec26 33 / 35</v>
      </c>
      <c r="O23" t="str">
        <f t="shared" si="16"/>
        <v>{EU} SX5E TRF vs 6.125 Dec26 33 / 35</v>
      </c>
      <c r="S23" s="6" t="s">
        <v>121</v>
      </c>
      <c r="T23" s="6" t="str">
        <f t="shared" si="17"/>
        <v>Better Bid | Worse offer</v>
      </c>
      <c r="V23" s="1" t="str">
        <f t="shared" si="18"/>
        <v>Dec27</v>
      </c>
      <c r="W23">
        <f t="shared" si="19"/>
        <v>43.5</v>
      </c>
      <c r="X23" s="2">
        <f t="shared" si="20"/>
        <v>46.5</v>
      </c>
      <c r="AT23" s="63"/>
    </row>
    <row r="24" spans="2:46" ht="21" customHeight="1" x14ac:dyDescent="0.25">
      <c r="B24" s="68" t="str">
        <f t="shared" si="21"/>
        <v/>
      </c>
      <c r="C24" s="34"/>
      <c r="D24" s="36" t="str">
        <f t="shared" si="22"/>
        <v/>
      </c>
      <c r="E24" t="str">
        <f t="shared" si="23"/>
        <v/>
      </c>
      <c r="F24" t="str">
        <f t="shared" si="24"/>
        <v/>
      </c>
      <c r="G24" t="str">
        <f t="shared" si="25"/>
        <v/>
      </c>
      <c r="H24" s="6" t="str">
        <f>IFERROR(IF(C24="","",IF(E24=INDEX(O:O,MATCH(D24,N:N,0)),"best bid "&amp;IF(LEFT(INDEX(Q:Q,MATCH(D24,N:N,0)),1)-1=0,"","("&amp;LEFT(INDEX(Q:Q,MATCH(D24,N:N,0)),1)-1&amp;" with you)"),INDEX(O:O,MATCH(D24,N:N,0))&amp; " bid")&amp;" / "&amp;IF(F24=INDEX(P:P,MATCH(D24,N:N,0)),"best offer "&amp;IF(LEFT(INDEX(R:R,MATCH(D24,N:N,0)),1)-1=0,"","("&amp;LEFT(INDEX(R:R,MATCH(D24,N:N,0)),1)-1&amp;" with you)"),INDEX(P:P,MATCH(D24,N:N,0))&amp;" offer")),"")</f>
        <v/>
      </c>
      <c r="I24" s="6" t="str">
        <f>IFERROR(IF(C24="","",IF(E24=INDEX(O:O,MATCH(D24,N:N,0)),"",INDEX(O:O,MATCH(D24,N:N,0))&amp; " bid")&amp;IF(F24=INDEX(P:P,MATCH(D24,N:N,0)),"",IF(E24=INDEX(O:O,MATCH(D24,N:N,0)),INDEX(P:P,MATCH(D24,N:N,0))&amp;" offer"," / "&amp;INDEX(P:P,MATCH(D24,N:N,0))&amp;" offer"))),"")</f>
        <v/>
      </c>
      <c r="J24" s="1" t="str">
        <f t="shared" si="26"/>
        <v/>
      </c>
      <c r="K24" s="97" t="str">
        <f t="shared" si="27"/>
        <v/>
      </c>
      <c r="L24" t="str">
        <f>IF(AND(E24=$O10,COUNTIF(E:E,$O10)=1),"Best bid solo","") &amp; " " &amp; IF(AND(F24=$P10,COUNTIF(F:F,$P10)=1),"Best offer solo","")</f>
        <v xml:space="preserve"> </v>
      </c>
      <c r="N24" s="160" t="str">
        <f t="shared" si="28"/>
        <v>Dec27 39.5 / 41.5</v>
      </c>
      <c r="O24" t="str">
        <f>IF(N24&lt;&gt;"","{EU} "&amp; SUBSTITUTE(SUBSTITUTE($N$17,"Tightest ",""),"run ","") &amp; " " &amp;N24,"")</f>
        <v>{EU} SX5E TRF vs 6.125 Dec27 39.5 / 41.5</v>
      </c>
      <c r="S24" s="6" t="s">
        <v>122</v>
      </c>
      <c r="T24" s="6" t="str">
        <f t="shared" si="17"/>
        <v>Better Bid | Worse offer</v>
      </c>
      <c r="V24" s="1" t="str">
        <f t="shared" si="18"/>
        <v>Dec28</v>
      </c>
      <c r="W24">
        <f t="shared" si="19"/>
        <v>51.5</v>
      </c>
      <c r="X24" s="2">
        <f t="shared" si="20"/>
        <v>54.5</v>
      </c>
      <c r="AT24" s="63"/>
    </row>
    <row r="25" spans="2:46" ht="21" customHeight="1" x14ac:dyDescent="0.25">
      <c r="B25" s="68" t="str">
        <f t="shared" si="21"/>
        <v/>
      </c>
      <c r="C25" s="34"/>
      <c r="D25" s="36" t="str">
        <f t="shared" si="22"/>
        <v/>
      </c>
      <c r="E25" t="str">
        <f t="shared" si="23"/>
        <v/>
      </c>
      <c r="F25" t="str">
        <f t="shared" si="24"/>
        <v/>
      </c>
      <c r="G25" t="str">
        <f t="shared" si="25"/>
        <v/>
      </c>
      <c r="H25" s="6" t="str">
        <f>IFERROR(IF(C25="","",IF(E25=INDEX(O:O,MATCH(D25,N:N,0)),"best bid "&amp;IF(LEFT(INDEX(Q:Q,MATCH(D25,N:N,0)),1)-1=0,"","("&amp;LEFT(INDEX(Q:Q,MATCH(D25,N:N,0)),1)-1&amp;" with you)"),INDEX(O:O,MATCH(D25,N:N,0))&amp; " bid")&amp;" / "&amp;IF(F25=INDEX(P:P,MATCH(D25,N:N,0)),"best offer "&amp;IF(LEFT(INDEX(R:R,MATCH(D25,N:N,0)),1)-1=0,"","("&amp;LEFT(INDEX(R:R,MATCH(D25,N:N,0)),1)-1&amp;" with you)"),INDEX(P:P,MATCH(D25,N:N,0))&amp;" offer")),"")</f>
        <v/>
      </c>
      <c r="I25" s="6" t="str">
        <f>IFERROR(IF(C25="","",IF(E25=INDEX(O:O,MATCH(D25,N:N,0)),"",INDEX(O:O,MATCH(D25,N:N,0))&amp; " bid")&amp;IF(F25=INDEX(P:P,MATCH(D25,N:N,0)),"",IF(E25=INDEX(O:O,MATCH(D25,N:N,0)),INDEX(P:P,MATCH(D25,N:N,0))&amp;" offer"," / "&amp;INDEX(P:P,MATCH(D25,N:N,0))&amp;" offer"))),"")</f>
        <v/>
      </c>
      <c r="J25" s="1" t="str">
        <f t="shared" si="26"/>
        <v/>
      </c>
      <c r="K25" s="97" t="str">
        <f t="shared" si="27"/>
        <v/>
      </c>
      <c r="L25" t="str">
        <f>IF(AND(E25=$O11,COUNTIF(E:E,$O11)=1),"Best bid solo","") &amp; " " &amp; IF(AND(F25=$P11,COUNTIF(F:F,$P11)=1),"Best offer solo","")</f>
        <v xml:space="preserve"> </v>
      </c>
      <c r="N25" s="160" t="str">
        <f t="shared" si="28"/>
        <v>Dec28 46.5 / 48.5</v>
      </c>
      <c r="O25" t="str">
        <f t="shared" si="16"/>
        <v>{EU} SX5E TRF vs 6.125 Dec28 46.5 / 48.5</v>
      </c>
      <c r="S25" s="6" t="s">
        <v>123</v>
      </c>
      <c r="T25" s="6" t="str">
        <f t="shared" si="17"/>
        <v>Better Bid | Worse offer</v>
      </c>
      <c r="V25" s="1" t="str">
        <f t="shared" si="18"/>
        <v>Dec29</v>
      </c>
      <c r="W25">
        <f t="shared" si="19"/>
        <v>58</v>
      </c>
      <c r="X25" s="2">
        <f t="shared" si="20"/>
        <v>63</v>
      </c>
      <c r="AT25" s="63"/>
    </row>
    <row r="26" spans="2:46" ht="21" customHeight="1" x14ac:dyDescent="0.25">
      <c r="B26" s="68" t="str">
        <f t="shared" si="21"/>
        <v/>
      </c>
      <c r="C26" s="34"/>
      <c r="D26" s="36" t="str">
        <f t="shared" si="22"/>
        <v/>
      </c>
      <c r="E26" t="str">
        <f t="shared" si="23"/>
        <v/>
      </c>
      <c r="F26" t="str">
        <f t="shared" si="24"/>
        <v/>
      </c>
      <c r="G26" t="str">
        <f t="shared" si="25"/>
        <v/>
      </c>
      <c r="H26" s="6" t="str">
        <f>IFERROR(IF(C26="","",IF(E26=INDEX(O:O,MATCH(D26,N:N,0)),"best bid "&amp;IF(LEFT(INDEX(Q:Q,MATCH(D26,N:N,0)),1)-1=0,"","("&amp;LEFT(INDEX(Q:Q,MATCH(D26,N:N,0)),1)-1&amp;" with you)"),INDEX(O:O,MATCH(D26,N:N,0))&amp; " bid")&amp;" / "&amp;IF(F26=INDEX(P:P,MATCH(D26,N:N,0)),"best offer "&amp;IF(LEFT(INDEX(R:R,MATCH(D26,N:N,0)),1)-1=0,"","("&amp;LEFT(INDEX(R:R,MATCH(D26,N:N,0)),1)-1&amp;" with you)"),INDEX(P:P,MATCH(D26,N:N,0))&amp;" offer")),"")</f>
        <v/>
      </c>
      <c r="I26" s="6" t="str">
        <f>IFERROR(IF(C26="","",IF(E26=INDEX(O:O,MATCH(D26,N:N,0)),"",INDEX(O:O,MATCH(D26,N:N,0))&amp; " bid")&amp;IF(F26=INDEX(P:P,MATCH(D26,N:N,0)),"",IF(E26=INDEX(O:O,MATCH(D26,N:N,0)),INDEX(P:P,MATCH(D26,N:N,0))&amp;" offer"," / "&amp;INDEX(P:P,MATCH(D26,N:N,0))&amp;" offer"))),"")</f>
        <v/>
      </c>
      <c r="J26" s="1" t="str">
        <f t="shared" si="26"/>
        <v/>
      </c>
      <c r="K26" s="97" t="str">
        <f t="shared" si="27"/>
        <v/>
      </c>
      <c r="L26" t="str">
        <f>IF(AND(E26=$O12,COUNTIF(E:E,$O12)=1),"Best bid solo","") &amp; " " &amp; IF(AND(F26=$P12,COUNTIF(F:F,$P12)=1),"Best offer solo","")</f>
        <v xml:space="preserve"> </v>
      </c>
      <c r="N26" s="160" t="str">
        <f t="shared" si="28"/>
        <v>Dec29 53.5 / 56.5</v>
      </c>
      <c r="O26" t="str">
        <f t="shared" si="16"/>
        <v>{EU} SX5E TRF vs 6.125 Dec29 53.5 / 56.5</v>
      </c>
      <c r="S26" s="6" t="s">
        <v>124</v>
      </c>
      <c r="T26" s="6" t="str">
        <f t="shared" si="17"/>
        <v>Better Bid | Worse offer</v>
      </c>
      <c r="V26" s="1" t="str">
        <f t="shared" si="18"/>
        <v>Dec30</v>
      </c>
      <c r="W26">
        <f t="shared" si="19"/>
        <v>65</v>
      </c>
      <c r="X26" s="2">
        <f t="shared" si="20"/>
        <v>70</v>
      </c>
      <c r="AT26" s="63"/>
    </row>
    <row r="27" spans="2:46" ht="21" customHeight="1" x14ac:dyDescent="0.25">
      <c r="B27" s="68" t="str">
        <f t="shared" si="21"/>
        <v/>
      </c>
      <c r="C27" s="34"/>
      <c r="D27" s="36" t="str">
        <f t="shared" si="22"/>
        <v/>
      </c>
      <c r="E27" t="str">
        <f t="shared" si="23"/>
        <v/>
      </c>
      <c r="F27" t="str">
        <f t="shared" si="24"/>
        <v/>
      </c>
      <c r="G27" t="str">
        <f t="shared" si="25"/>
        <v/>
      </c>
      <c r="H27" s="6" t="str">
        <f>IFERROR(IF(C27="","",IF(E27=INDEX(O:O,MATCH(D27,N:N,0)),"best bid "&amp;IF(LEFT(INDEX(Q:Q,MATCH(D27,N:N,0)),1)-1=0,"","("&amp;LEFT(INDEX(Q:Q,MATCH(D27,N:N,0)),1)-1&amp;" with you)"),INDEX(O:O,MATCH(D27,N:N,0))&amp; " bid")&amp;" / "&amp;IF(F27=INDEX(P:P,MATCH(D27,N:N,0)),"best offer "&amp;IF(LEFT(INDEX(R:R,MATCH(D27,N:N,0)),1)-1=0,"","("&amp;LEFT(INDEX(R:R,MATCH(D27,N:N,0)),1)-1&amp;" with you)"),INDEX(P:P,MATCH(D27,N:N,0))&amp;" offer")),"")</f>
        <v/>
      </c>
      <c r="I27" s="6" t="str">
        <f>IFERROR(IF(C27="","",IF(E27=INDEX(O:O,MATCH(D27,N:N,0)),"",INDEX(O:O,MATCH(D27,N:N,0))&amp; " bid")&amp;IF(F27=INDEX(P:P,MATCH(D27,N:N,0)),"",IF(E27=INDEX(O:O,MATCH(D27,N:N,0)),INDEX(P:P,MATCH(D27,N:N,0))&amp;" offer"," / "&amp;INDEX(P:P,MATCH(D27,N:N,0))&amp;" offer"))),"")</f>
        <v/>
      </c>
      <c r="J27" s="1" t="str">
        <f t="shared" si="26"/>
        <v/>
      </c>
      <c r="K27" s="97" t="str">
        <f t="shared" si="27"/>
        <v/>
      </c>
      <c r="L27" t="str">
        <f>IF(AND(E27=$O13,COUNTIF(E:E,$O13)=1),"Best bid solo","") &amp; " " &amp; IF(AND(F27=$P13,COUNTIF(F:F,$P13)=1),"Best offer solo","")</f>
        <v xml:space="preserve"> </v>
      </c>
      <c r="N27" s="160" t="str">
        <f t="shared" si="28"/>
        <v>Dec30 60 / 64</v>
      </c>
      <c r="O27" t="str">
        <f t="shared" si="16"/>
        <v>{EU} SX5E TRF vs 6.125 Dec30 60 / 64</v>
      </c>
      <c r="S27" s="6" t="s">
        <v>125</v>
      </c>
      <c r="T27" s="6" t="str">
        <f>IF(W27&lt;E27, "Better Bid | ",IF(W27&gt;E27,"Worse bid | ","")) &amp; IF(X27&gt;F27,"Better offer",IF(X27&lt;F27,"Worse offer",""))</f>
        <v>Better Bid | Worse offer</v>
      </c>
      <c r="V27" s="1" t="str">
        <f t="shared" si="18"/>
        <v>Dec31</v>
      </c>
      <c r="W27">
        <f t="shared" si="19"/>
        <v>73</v>
      </c>
      <c r="X27" s="2">
        <f t="shared" si="20"/>
        <v>78</v>
      </c>
      <c r="AT27" s="63"/>
    </row>
    <row r="28" spans="2:46" ht="21" customHeight="1" x14ac:dyDescent="0.25">
      <c r="B28" s="68" t="str">
        <f t="shared" si="21"/>
        <v/>
      </c>
      <c r="C28" s="34"/>
      <c r="D28" s="36" t="str">
        <f t="shared" si="22"/>
        <v/>
      </c>
      <c r="E28" t="str">
        <f t="shared" si="23"/>
        <v/>
      </c>
      <c r="F28" t="str">
        <f t="shared" si="24"/>
        <v/>
      </c>
      <c r="G28" t="str">
        <f t="shared" si="25"/>
        <v/>
      </c>
      <c r="H28" s="6" t="str">
        <f>IFERROR(IF(C28="","",IF(E28=INDEX(O:O,MATCH(D28,N:N,0)),"best bid "&amp;IF(LEFT(INDEX(Q:Q,MATCH(D28,N:N,0)),1)-1=0,"","("&amp;LEFT(INDEX(Q:Q,MATCH(D28,N:N,0)),1)-1&amp;" with you)"),INDEX(O:O,MATCH(D28,N:N,0))&amp; " bid")&amp;" / "&amp;IF(F28=INDEX(P:P,MATCH(D28,N:N,0)),"best offer "&amp;IF(LEFT(INDEX(R:R,MATCH(D28,N:N,0)),1)-1=0,"","("&amp;LEFT(INDEX(R:R,MATCH(D28,N:N,0)),1)-1&amp;" with you)"),INDEX(P:P,MATCH(D28,N:N,0))&amp;" offer")),"")</f>
        <v/>
      </c>
      <c r="I28" s="6" t="str">
        <f>IFERROR(IF(C28="","",IF(E28=INDEX(O:O,MATCH(D28,N:N,0)),"",INDEX(O:O,MATCH(D28,N:N,0))&amp; " bid")&amp;IF(F28=INDEX(P:P,MATCH(D28,N:N,0)),"",IF(E28=INDEX(O:O,MATCH(D28,N:N,0)),INDEX(P:P,MATCH(D28,N:N,0))&amp;" offer"," / "&amp;INDEX(P:P,MATCH(D28,N:N,0))&amp;" offer"))),"")</f>
        <v/>
      </c>
      <c r="J28" s="1" t="str">
        <f t="shared" si="26"/>
        <v/>
      </c>
      <c r="K28" s="97" t="str">
        <f t="shared" si="27"/>
        <v/>
      </c>
      <c r="L28" t="str">
        <f>IF(AND(E28=$O14,COUNTIF(E:E,$O14)=1),"Best bid solo","") &amp; " " &amp; IF(AND(F28=$P14,COUNTIF(F:F,$P14)=1),"Best offer solo","")</f>
        <v xml:space="preserve"> </v>
      </c>
      <c r="N28" s="160" t="str">
        <f t="shared" si="28"/>
        <v>Dec31 66.5 / 72.5</v>
      </c>
      <c r="O28" t="str">
        <f t="shared" si="16"/>
        <v>{EU} SX5E TRF vs 6.125 Dec31 66.5 / 72.5</v>
      </c>
      <c r="S28" s="7"/>
      <c r="T28" s="7" t="str">
        <f t="shared" ref="T28:T29" si="29">IF(W28&lt;E28,"Better Bid",IF(W28&gt;E28,"Worse bid","")) &amp; " " &amp; IF(X28&gt;F28,"Better offer",IF(X28&lt;F28,"Worse offer",""))</f>
        <v xml:space="preserve"> </v>
      </c>
      <c r="V28" s="1" t="str">
        <f t="shared" si="18"/>
        <v/>
      </c>
      <c r="W28" t="str">
        <f t="shared" si="19"/>
        <v/>
      </c>
      <c r="X28" s="2" t="str">
        <f t="shared" si="20"/>
        <v/>
      </c>
      <c r="AT28" s="63"/>
    </row>
    <row r="29" spans="2:46" ht="21" customHeight="1" x14ac:dyDescent="0.25">
      <c r="B29" s="68" t="str">
        <f t="shared" ref="B29:B31" si="30">IF(C29="","",IF(B28="",IF(B27="","",B27),B28))</f>
        <v/>
      </c>
      <c r="C29" s="34"/>
      <c r="D29" s="36" t="str">
        <f t="shared" ref="D29:D31" si="31">IF(C29="","",SUBSTITUTE(SUBSTITUTE(LEFT(C29,FIND(" ",C29)-1),"-",""),":",""))</f>
        <v/>
      </c>
      <c r="E29" t="str">
        <f t="shared" ref="E29:E31" si="32">IF(C29="","",IFERROR(IFERROR(VALUE(SUBSTITUTE(MID(C29,FIND(" ",C29),FIND("/",C29)-FIND(" ",C29))," ","")),IF(FIND("B",UPPER(C29)),VALUE(MID(C29,FIND(" ",C29),FIND("B",UPPER(C29))-FIND(" ",C29))),"")),""))</f>
        <v/>
      </c>
      <c r="F29" t="str">
        <f t="shared" ref="F29:F31" si="33">IF(C29="","",IFERROR(IFERROR(VALUE(SUBSTITUTE(RIGHT(C29,LEN(C29)-FIND("/",C29))," ","")),IF(FIND("O",UPPER(C29)),VALUE(MID(C29,FIND(" ",C29),FIND("O",UPPER(C29))-FIND(" ",C29))),"")),""))</f>
        <v/>
      </c>
      <c r="G29" t="str">
        <f t="shared" ref="G29:G31" si="34">IF(C29="","",IF(G28="",IF(G27="","",G27),G28))</f>
        <v/>
      </c>
      <c r="H29" s="6" t="str">
        <f>IFERROR(IF(C29="","",IF(E29=INDEX(O:O,MATCH(D29,N:N,0)),"best bid "&amp;IF(LEFT(INDEX(Q:Q,MATCH(D29,N:N,0)),1)-1=0,"","("&amp;LEFT(INDEX(Q:Q,MATCH(D29,N:N,0)),1)-1&amp;" with you)"),INDEX(O:O,MATCH(D29,N:N,0))&amp; " bid")&amp;" / "&amp;IF(F29=INDEX(P:P,MATCH(D29,N:N,0)),"best offer "&amp;IF(LEFT(INDEX(R:R,MATCH(D29,N:N,0)),1)-1=0,"","("&amp;LEFT(INDEX(R:R,MATCH(D29,N:N,0)),1)-1&amp;" with you)"),INDEX(P:P,MATCH(D29,N:N,0))&amp;" offer")),"")</f>
        <v/>
      </c>
      <c r="I29" s="6" t="str">
        <f>IFERROR(IF(C29="","",IF(E29=INDEX(O:O,MATCH(D29,N:N,0)),"",INDEX(O:O,MATCH(D29,N:N,0))&amp; " bid")&amp;IF(F29=INDEX(P:P,MATCH(D29,N:N,0)),"",IF(E29=INDEX(O:O,MATCH(D29,N:N,0)),INDEX(P:P,MATCH(D29,N:N,0))&amp;" offer"," / "&amp;INDEX(P:P,MATCH(D29,N:N,0))&amp;" offer"))),"")</f>
        <v/>
      </c>
      <c r="J29" s="1" t="str">
        <f t="shared" si="26"/>
        <v/>
      </c>
      <c r="K29" s="97" t="str">
        <f t="shared" si="27"/>
        <v/>
      </c>
      <c r="N29" s="160" t="str">
        <f t="shared" ref="N29" si="35">IFERROR(IF(Q15="","",N15&amp;" "&amp;O15&amp;" / "&amp;P15),"")</f>
        <v/>
      </c>
      <c r="O29" t="str">
        <f t="shared" ref="O29" si="36">IF(N29&lt;&gt;"","{EU} "&amp; SUBSTITUTE(SUBSTITUTE($N$17,"Tightest ",""),"run ","") &amp; " " &amp;N29,"")</f>
        <v/>
      </c>
      <c r="T29" t="str">
        <f t="shared" si="29"/>
        <v xml:space="preserve"> </v>
      </c>
      <c r="AT29" s="63"/>
    </row>
    <row r="30" spans="2:46" ht="21" customHeight="1" x14ac:dyDescent="0.25">
      <c r="B30" s="68" t="str">
        <f t="shared" si="30"/>
        <v/>
      </c>
      <c r="C30" s="34"/>
      <c r="D30" s="36" t="str">
        <f t="shared" si="31"/>
        <v/>
      </c>
      <c r="E30" t="str">
        <f t="shared" si="32"/>
        <v/>
      </c>
      <c r="F30" t="str">
        <f t="shared" si="33"/>
        <v/>
      </c>
      <c r="G30" t="str">
        <f t="shared" si="34"/>
        <v/>
      </c>
      <c r="H30" s="6" t="str">
        <f>IFERROR(IF(C30="","",IF(E30=INDEX(O:O,MATCH(D30,N:N,0)),"best bid "&amp;IF(LEFT(INDEX(Q:Q,MATCH(D30,N:N,0)),1)-1=0,"","("&amp;LEFT(INDEX(Q:Q,MATCH(D30,N:N,0)),1)-1&amp;" with you)"),INDEX(O:O,MATCH(D30,N:N,0))&amp; " bid")&amp;" / "&amp;IF(F30=INDEX(P:P,MATCH(D30,N:N,0)),"best offer "&amp;IF(LEFT(INDEX(R:R,MATCH(D30,N:N,0)),1)-1=0,"","("&amp;LEFT(INDEX(R:R,MATCH(D30,N:N,0)),1)-1&amp;" with you)"),INDEX(P:P,MATCH(D30,N:N,0))&amp;" offer")),"")</f>
        <v/>
      </c>
      <c r="I30" s="6" t="str">
        <f>IFERROR(IF(C30="","",IF(E30=INDEX(O:O,MATCH(D30,N:N,0)),"",INDEX(O:O,MATCH(D30,N:N,0))&amp; " bid")&amp;IF(F30=INDEX(P:P,MATCH(D30,N:N,0)),"",IF(E30=INDEX(O:O,MATCH(D30,N:N,0)),INDEX(P:P,MATCH(D30,N:N,0))&amp;" offer"," / "&amp;INDEX(P:P,MATCH(D30,N:N,0))&amp;" offer"))),"")</f>
        <v/>
      </c>
      <c r="J30" s="1"/>
      <c r="K30" s="97" t="str">
        <f t="shared" si="27"/>
        <v/>
      </c>
      <c r="AT30" s="63"/>
    </row>
    <row r="31" spans="2:46" ht="21" customHeight="1" thickBot="1" x14ac:dyDescent="0.3">
      <c r="B31" s="70" t="str">
        <f t="shared" si="30"/>
        <v/>
      </c>
      <c r="C31" s="124"/>
      <c r="D31" s="125" t="str">
        <f t="shared" si="31"/>
        <v/>
      </c>
      <c r="E31" s="71" t="str">
        <f t="shared" si="32"/>
        <v/>
      </c>
      <c r="F31" s="71" t="str">
        <f t="shared" si="33"/>
        <v/>
      </c>
      <c r="G31" s="71" t="str">
        <f t="shared" si="34"/>
        <v/>
      </c>
      <c r="H31" s="7" t="str">
        <f>IFERROR(IF(C31="","",IF(E31=INDEX(O:O,MATCH(D31,N:N,0)),"best bid "&amp;IF(LEFT(INDEX(Q:Q,MATCH(D31,N:N,0)),1)-1=0,"","("&amp;LEFT(INDEX(Q:Q,MATCH(D31,N:N,0)),1)-1&amp;" with you)"),INDEX(O:O,MATCH(D31,N:N,0))&amp; " bid")&amp;" / "&amp;IF(F31=INDEX(P:P,MATCH(D31,N:N,0)),"best offer "&amp;IF(LEFT(INDEX(R:R,MATCH(D31,N:N,0)),1)-1=0,"","("&amp;LEFT(INDEX(R:R,MATCH(D31,N:N,0)),1)-1&amp;" with you)"),INDEX(P:P,MATCH(D31,N:N,0))&amp;" offer")),"")</f>
        <v/>
      </c>
      <c r="I31" s="7" t="str">
        <f>IFERROR(IF(C31="","",IF(E31=INDEX(O:O,MATCH(D31,N:N,0)),"",INDEX(O:O,MATCH(D31,N:N,0))&amp; " bid")&amp;IF(F31=INDEX(P:P,MATCH(D31,N:N,0)),"",IF(E31=INDEX(O:O,MATCH(D31,N:N,0)),INDEX(P:P,MATCH(D31,N:N,0))&amp;" offer"," / "&amp;INDEX(P:P,MATCH(D31,N:N,0))&amp;" offer"))),"")</f>
        <v/>
      </c>
      <c r="J31" s="3" t="str">
        <f t="shared" si="26"/>
        <v/>
      </c>
      <c r="K31" s="104" t="str">
        <f t="shared" si="27"/>
        <v/>
      </c>
      <c r="V31" t="str">
        <f>IF(S34="","",SUBSTITUTE(LEFT(S34,FIND(" ",S34)-1),"-",""))</f>
        <v/>
      </c>
      <c r="W31" t="str">
        <f>IF(S34="","",IFERROR(IFERROR(VALUE(SUBSTITUTE(MID(S34,FIND(" ",S34),FIND("/",S34)-FIND(" ",S34))," ","")),IF(FIND("B",UPPER(S34)),VALUE(MID(S34,FIND(" ",S34),FIND("B",UPPER(S34))-FIND(" ",S34))),"")),""))</f>
        <v/>
      </c>
      <c r="X31" t="str">
        <f>IF(S34="","",IFERROR(IFERROR(VALUE(SUBSTITUTE(RIGHT(S34,LEN(S34)-FIND("/",S34))," ","")),IF(FIND("O",UPPER(S34)),VALUE(MID(S34,FIND(" ",S34),FIND("O",UPPER(S34))-FIND(" ",S34))),"")),""))</f>
        <v/>
      </c>
      <c r="AT31" s="63"/>
    </row>
    <row r="32" spans="2:46" ht="21" customHeight="1" thickBot="1" x14ac:dyDescent="0.3">
      <c r="N32" s="134" t="str">
        <f>IF(COUNT(_xlfn.UNIQUE(G:G))&lt;&gt;1,"CARE, BASIS ISSUE","GO")</f>
        <v>GO</v>
      </c>
      <c r="V32" t="str">
        <f>IF(S35="","",SUBSTITUTE(LEFT(S35,FIND(" ",S35)-1),"-",""))</f>
        <v/>
      </c>
      <c r="W32" t="str">
        <f>IF(S35="","",IFERROR(IFERROR(VALUE(SUBSTITUTE(MID(S35,FIND(" ",S35),FIND("/",S35)-FIND(" ",S35))," ","")),IF(FIND("B",UPPER(S35)),VALUE(MID(S35,FIND(" ",S35),FIND("B",UPPER(S35))-FIND(" ",S35))),"")),""))</f>
        <v/>
      </c>
      <c r="X32" t="str">
        <f>IF(S35="","",IFERROR(IFERROR(VALUE(SUBSTITUTE(RIGHT(S35,LEN(S35)-FIND("/",S35))," ","")),IF(FIND("O",UPPER(S35)),VALUE(MID(S35,FIND(" ",S35),FIND("O",UPPER(S35))-FIND(" ",S35))),"")),""))</f>
        <v/>
      </c>
      <c r="AT32" s="63"/>
    </row>
    <row r="33" spans="2:46" ht="21" customHeight="1" thickBot="1" x14ac:dyDescent="0.3">
      <c r="D33" s="36" t="str">
        <f>IF(C33="","",SUBSTITUTE(LEFT(C33,FIND(" ",C33)-1),"-",""))</f>
        <v/>
      </c>
      <c r="E33" s="36"/>
      <c r="F33" s="36"/>
      <c r="G33" s="36"/>
      <c r="H33" s="37"/>
      <c r="I33" s="37"/>
      <c r="J33" s="129" t="str">
        <f>IF(B34="BNP","Ton feedback Hugo",IF(B34="JP","Ton feedback Gabriel",IF(B34="Barc","Your feedback Nathaniel",IF(B34="GS","Your feedback Ken-Ji",""))))</f>
        <v>Ton feedback Gabriel</v>
      </c>
      <c r="K33" s="158" t="str">
        <f>J33</f>
        <v>Ton feedback Gabriel</v>
      </c>
      <c r="N33" s="134"/>
      <c r="S33" s="55"/>
      <c r="T33" s="56" t="s">
        <v>36</v>
      </c>
      <c r="V33" s="1"/>
      <c r="X33" s="2"/>
      <c r="AT33" s="63"/>
    </row>
    <row r="34" spans="2:46" ht="21" customHeight="1" thickBot="1" x14ac:dyDescent="0.3">
      <c r="B34" s="127" t="s">
        <v>17</v>
      </c>
      <c r="C34" s="128"/>
      <c r="D34" s="81" t="str">
        <f>IF(C34="","",SUBSTITUTE(LEFT(C34,FIND(" ",C34)-1),"-",""))</f>
        <v/>
      </c>
      <c r="E34" s="81" t="str">
        <f t="shared" ref="E34:E44" si="37">IF(C34="","",IFERROR(IFERROR(VALUE(SUBSTITUTE(MID(C34,FIND(" ",C34),FIND("/",C34)-FIND(" ",C34))," ","")),IF(FIND("B",UPPER(C34)),VALUE(MID(C34,FIND(" ",C34),FIND("B",UPPER(C34))-FIND(" ",C34))),"")),""))</f>
        <v/>
      </c>
      <c r="F34" s="81" t="str">
        <f t="shared" ref="F34:F44" si="38">IF(C34="","",IFERROR(IFERROR(VALUE(SUBSTITUTE(RIGHT(C34,LEN(C34)-FIND("/",C34))," ","")),IF(FIND("O",UPPER(C34)),VALUE(MID(C34,FIND(" ",C34),FIND("O",UPPER(C34))-FIND(" ",C34))),"")),""))</f>
        <v/>
      </c>
      <c r="G34" s="81" t="str">
        <f>IF(C34="","",VALUE(SUBSTITUTE(SUBSTITUTE(SUBSTITUTE(SUBSTITUTE(SUBSTITUTE(RIGHT(C34,LEN(C34)-FIND("vs",C34)+1),"basis",""),"vs.","")," ",""),":",""),"vs","")))</f>
        <v/>
      </c>
      <c r="H34" s="42" t="s">
        <v>13</v>
      </c>
      <c r="I34" s="131" t="s">
        <v>14</v>
      </c>
      <c r="J34" s="1">
        <f>C34</f>
        <v>0</v>
      </c>
      <c r="K34" s="97">
        <f>C34</f>
        <v>0</v>
      </c>
      <c r="N34" s="134"/>
      <c r="S34" s="6"/>
      <c r="T34" s="6" t="str">
        <f>IF(W31&lt;E34,"Better Bid",IF(W31&gt;E34,"Worse bid","")) &amp; " " &amp; IF(X31&gt;F34,"Better offer",IF(X31&lt;F34,"Worse offer",""))</f>
        <v xml:space="preserve"> </v>
      </c>
      <c r="V34" s="44" t="str">
        <f t="shared" ref="V34:V45" si="39">IF(S34="","",SUBSTITUTE(LEFT(S34,FIND(" ",S34)-1),"-",""))</f>
        <v/>
      </c>
      <c r="W34" s="12" t="str">
        <f t="shared" ref="W34:W45" si="40">IF(S34="","",IFERROR(IFERROR(VALUE(SUBSTITUTE(MID(S34,FIND(" ",S34),FIND("/",S34)-FIND(" ",S34))," ","")),IF(FIND("B",UPPER(S34)),VALUE(MID(S34,FIND(" ",S34),FIND("B",UPPER(S34))-FIND(" ",S34))),"")),""))</f>
        <v/>
      </c>
      <c r="X34" s="14" t="str">
        <f t="shared" ref="X34:X45" si="41">IF(S34="","",IFERROR(IFERROR(VALUE(SUBSTITUTE(RIGHT(S34,LEN(S34)-FIND("/",S34))," ","")),IF(FIND("O",UPPER(S34)),VALUE(MID(S34,FIND(" ",S34),FIND("O",UPPER(S34))-FIND(" ",S34))),"")),""))</f>
        <v/>
      </c>
      <c r="AT34" s="63"/>
    </row>
    <row r="35" spans="2:46" ht="21" customHeight="1" x14ac:dyDescent="0.25">
      <c r="B35" s="68" t="str">
        <f t="shared" ref="B35:B44" si="42">IF(C35="","",IF(B34="",IF(B33="","",B33),B34))</f>
        <v/>
      </c>
      <c r="D35" s="36" t="str">
        <f>IF(C35="","",SUBSTITUTE(LEFT(C35,FIND(" ",C35)-1),"-",""))</f>
        <v/>
      </c>
      <c r="E35" t="str">
        <f t="shared" si="37"/>
        <v/>
      </c>
      <c r="F35" t="str">
        <f t="shared" si="38"/>
        <v/>
      </c>
      <c r="G35" t="str">
        <f t="shared" ref="G35:G44" si="43">IF(C35="","",IF(G34="",IF(G33="","",G33),G34))</f>
        <v/>
      </c>
      <c r="H35" s="6"/>
      <c r="I35" s="47" t="str">
        <f>IFERROR(IF(C35="","",IF(E35=INDEX(O:O,MATCH(D35,N:N,0)),"",INDEX(O:O,MATCH(D35,N:N,0))&amp; " bid")&amp;IF(F35=INDEX(P:P,MATCH(D35,N:N,0)),"",IF(E35=INDEX(O:O,MATCH(D35,N:N,0)),INDEX(P:P,MATCH(D35,N:N,0))&amp;" offer"," / "&amp;INDEX(P:P,MATCH(D35,N:N,0))&amp;" offer"))),"")</f>
        <v/>
      </c>
      <c r="J35" s="1" t="str">
        <f>IF(B35="JP",IF(C35="","",IF(I35="",C35,C35&amp;" -&gt; "&amp;I35)),IF(C35="","",IF(H35="",C35,C35&amp;" -&gt; "&amp;H35)))</f>
        <v/>
      </c>
      <c r="K35" s="97"/>
      <c r="N35" s="134"/>
      <c r="S35" s="6"/>
      <c r="T35" s="6" t="str">
        <f t="shared" ref="T35" si="44">IF(W32&lt;E35, "Better Bid | ",IF(W32&gt;E35,"Worse bid | ","")) &amp; IF(X32&gt;F35,"Better offer",IF(X32&lt;F35,"Worse offer",""))</f>
        <v/>
      </c>
      <c r="V35" s="1" t="str">
        <f t="shared" si="39"/>
        <v/>
      </c>
      <c r="W35" t="str">
        <f t="shared" si="40"/>
        <v/>
      </c>
      <c r="X35" s="2" t="str">
        <f t="shared" si="41"/>
        <v/>
      </c>
      <c r="AT35" s="63"/>
    </row>
    <row r="36" spans="2:46" ht="21" customHeight="1" x14ac:dyDescent="0.25">
      <c r="B36" s="68" t="str">
        <f t="shared" si="42"/>
        <v/>
      </c>
      <c r="C36" s="34"/>
      <c r="D36" s="36" t="str">
        <f t="shared" ref="D36:D44" si="45">IF(C36="","",SUBSTITUTE(SUBSTITUTE(LEFT(C36,FIND(" ",C36)-1),"-",""),":",""))</f>
        <v/>
      </c>
      <c r="E36" t="str">
        <f t="shared" si="37"/>
        <v/>
      </c>
      <c r="F36" t="str">
        <f t="shared" si="38"/>
        <v/>
      </c>
      <c r="G36" t="str">
        <f t="shared" si="43"/>
        <v/>
      </c>
      <c r="H36" s="6" t="str">
        <f>IFERROR(IF(C36="","",IF(E36=INDEX(O:O,MATCH(D36,N:N,0)),"best bid "&amp;IF(LEFT(INDEX(Q:Q,MATCH(D36,N:N,0)),1)-1=0,"","("&amp;LEFT(INDEX(Q:Q,MATCH(D36,N:N,0)),1)-1&amp;" with you)"),INDEX(O:O,MATCH(D36,N:N,0))&amp; " bid")&amp;" / "&amp;IF(F36=INDEX(P:P,MATCH(D36,N:N,0)),"best offer "&amp;IF(LEFT(INDEX(R:R,MATCH(D36,N:N,0)),1)-1=0,"","("&amp;LEFT(INDEX(R:R,MATCH(D36,N:N,0)),1)-1&amp;" with you)"),INDEX(P:P,MATCH(D36,N:N,0))&amp;" offer")),"")</f>
        <v/>
      </c>
      <c r="I36" s="6" t="str">
        <f>IFERROR(IF(C36="","",IF(E36=INDEX(O:O,MATCH(D36,N:N,0)),"",INDEX(O:O,MATCH(D36,N:N,0))&amp; " bid")&amp;IF(F36=INDEX(P:P,MATCH(D36,N:N,0)),"",IF(E36=INDEX(O:O,MATCH(D36,N:N,0)),INDEX(P:P,MATCH(D36,N:N,0))&amp;" offer"," / "&amp;INDEX(P:P,MATCH(D36,N:N,0))&amp;" offer"))),"")</f>
        <v/>
      </c>
      <c r="J36" s="1" t="str">
        <f t="shared" ref="J36:J47" si="46">IF(C36="","",D36&amp;" "&amp;LEFT(U33,1)&amp;VLOOKUP(D36,$N$5:$P$14,2,FALSE)&amp;IF(E36&lt;&gt;VLOOKUP(D36,$N$5:$P$14,2,FALSE),"*","")&amp;RIGHT(U33,1)&amp;" / "&amp;LEFT(AT33,1)&amp;VLOOKUP(D36,$N$5:$P$14,3,FALSE)&amp;IF(F36&lt;&gt;VLOOKUP(D36,$N$5:$P$14,3,FALSE),"*","")&amp;RIGHT(AT33,1))</f>
        <v/>
      </c>
      <c r="K36" s="97" t="str">
        <f t="shared" ref="K36:K44" si="47">IF(C36="","",IF(I36="",C36,C36&amp;" -&gt; "&amp;I36))</f>
        <v/>
      </c>
      <c r="L36" t="str">
        <f>IF(AND(E36=$O$5,COUNTIF(E:E,$O5)=1),"Best bid solo","") &amp; " " &amp; IF(AND(F36=$P5,COUNTIF(F:F,$P$5)=1),"Best offer solo","")</f>
        <v xml:space="preserve"> </v>
      </c>
      <c r="N36" s="134"/>
      <c r="S36" s="6"/>
      <c r="T36" s="6" t="str">
        <f>IF(W36&lt;E36, "Better Bid | ",IF(W36&gt;E36,"Worse bid | ","")) &amp; IF(X36&gt;F36,"Better offer",IF(X36&lt;F36,"Worse offer",""))</f>
        <v/>
      </c>
      <c r="V36" s="1" t="str">
        <f t="shared" si="39"/>
        <v/>
      </c>
      <c r="W36" t="str">
        <f t="shared" si="40"/>
        <v/>
      </c>
      <c r="X36" s="2" t="str">
        <f t="shared" si="41"/>
        <v/>
      </c>
      <c r="AT36" s="63"/>
    </row>
    <row r="37" spans="2:46" ht="21" customHeight="1" x14ac:dyDescent="0.25">
      <c r="B37" s="68" t="str">
        <f t="shared" si="42"/>
        <v/>
      </c>
      <c r="C37" s="34"/>
      <c r="D37" s="36" t="str">
        <f t="shared" si="45"/>
        <v/>
      </c>
      <c r="E37" t="str">
        <f t="shared" si="37"/>
        <v/>
      </c>
      <c r="F37" t="str">
        <f t="shared" si="38"/>
        <v/>
      </c>
      <c r="G37" t="str">
        <f t="shared" si="43"/>
        <v/>
      </c>
      <c r="H37" s="6" t="str">
        <f>IFERROR(IF(C37="","",IF(E37=INDEX(O:O,MATCH(D37,N:N,0)),"best bid "&amp;IF(LEFT(INDEX(Q:Q,MATCH(D37,N:N,0)),1)-1=0,"","("&amp;LEFT(INDEX(Q:Q,MATCH(D37,N:N,0)),1)-1&amp;" with you)"),INDEX(O:O,MATCH(D37,N:N,0))&amp; " bid")&amp;" / "&amp;IF(F37=INDEX(P:P,MATCH(D37,N:N,0)),"best offer "&amp;IF(LEFT(INDEX(R:R,MATCH(D37,N:N,0)),1)-1=0,"","("&amp;LEFT(INDEX(R:R,MATCH(D37,N:N,0)),1)-1&amp;" with you)"),INDEX(P:P,MATCH(D37,N:N,0))&amp;" offer")),"")</f>
        <v/>
      </c>
      <c r="I37" s="6" t="str">
        <f>IFERROR(IF(C37="","",IF(E37=INDEX(O:O,MATCH(D37,N:N,0)),"",INDEX(O:O,MATCH(D37,N:N,0))&amp; " bid")&amp;IF(F37=INDEX(P:P,MATCH(D37,N:N,0)),"",IF(E37=INDEX(O:O,MATCH(D37,N:N,0)),INDEX(P:P,MATCH(D37,N:N,0))&amp;" offer"," / "&amp;INDEX(P:P,MATCH(D37,N:N,0))&amp;" offer"))),"")</f>
        <v/>
      </c>
      <c r="J37" s="1" t="str">
        <f t="shared" si="46"/>
        <v/>
      </c>
      <c r="K37" s="97" t="str">
        <f t="shared" si="47"/>
        <v/>
      </c>
      <c r="L37" t="str">
        <f>IF(AND(E37=$O6,COUNTIF(E:E,$O6)=1),"Best bid solo","") &amp; " " &amp; IF(AND(F37=$P6,COUNTIF(F:F,$P6)=1),"Best offer solo","")</f>
        <v xml:space="preserve"> </v>
      </c>
      <c r="N37" s="134"/>
      <c r="S37" s="6"/>
      <c r="T37" s="6" t="str">
        <f t="shared" ref="T37:T44" si="48">IF(W37&lt;E37, "Better Bid | ",IF(W37&gt;E37,"Worse bid | ","")) &amp; IF(X37&gt;F37,"Better offer",IF(X37&lt;F37,"Worse offer",""))</f>
        <v/>
      </c>
      <c r="V37" s="1" t="str">
        <f t="shared" si="39"/>
        <v/>
      </c>
      <c r="W37" t="str">
        <f t="shared" si="40"/>
        <v/>
      </c>
      <c r="X37" s="2" t="str">
        <f t="shared" si="41"/>
        <v/>
      </c>
      <c r="AT37" s="63"/>
    </row>
    <row r="38" spans="2:46" ht="21" customHeight="1" x14ac:dyDescent="0.25">
      <c r="B38" s="68" t="str">
        <f t="shared" si="42"/>
        <v/>
      </c>
      <c r="C38" s="34"/>
      <c r="D38" s="36" t="str">
        <f t="shared" si="45"/>
        <v/>
      </c>
      <c r="E38" t="str">
        <f t="shared" si="37"/>
        <v/>
      </c>
      <c r="F38" t="str">
        <f t="shared" si="38"/>
        <v/>
      </c>
      <c r="G38" t="str">
        <f t="shared" si="43"/>
        <v/>
      </c>
      <c r="H38" s="6" t="str">
        <f>IFERROR(IF(C38="","",IF(E38=INDEX(O:O,MATCH(D38,N:N,0)),"best bid "&amp;IF(LEFT(INDEX(Q:Q,MATCH(D38,N:N,0)),1)-1=0,"","("&amp;LEFT(INDEX(Q:Q,MATCH(D38,N:N,0)),1)-1&amp;" with you)"),INDEX(O:O,MATCH(D38,N:N,0))&amp; " bid")&amp;" / "&amp;IF(F38=INDEX(P:P,MATCH(D38,N:N,0)),"best offer "&amp;IF(LEFT(INDEX(R:R,MATCH(D38,N:N,0)),1)-1=0,"","("&amp;LEFT(INDEX(R:R,MATCH(D38,N:N,0)),1)-1&amp;" with you)"),INDEX(P:P,MATCH(D38,N:N,0))&amp;" offer")),"")</f>
        <v/>
      </c>
      <c r="I38" s="6" t="str">
        <f>IFERROR(IF(C38="","",IF(E38=INDEX(O:O,MATCH(D38,N:N,0)),"",INDEX(O:O,MATCH(D38,N:N,0))&amp; " bid")&amp;IF(F38=INDEX(P:P,MATCH(D38,N:N,0)),"",IF(E38=INDEX(O:O,MATCH(D38,N:N,0)),INDEX(P:P,MATCH(D38,N:N,0))&amp;" offer"," / "&amp;INDEX(P:P,MATCH(D38,N:N,0))&amp;" offer"))),"")</f>
        <v/>
      </c>
      <c r="J38" s="1" t="str">
        <f t="shared" si="46"/>
        <v/>
      </c>
      <c r="K38" s="97" t="str">
        <f t="shared" si="47"/>
        <v/>
      </c>
      <c r="L38" t="str">
        <f>IF(AND(E38=$O7,COUNTIF(E:E,$O7)=1),"Best bid solo","") &amp; " " &amp; IF(AND(F38=$P7,COUNTIF(F:F,$P7)=1),"Best offer solo","")</f>
        <v xml:space="preserve"> </v>
      </c>
      <c r="N38" s="134"/>
      <c r="S38" s="6"/>
      <c r="T38" s="6" t="str">
        <f t="shared" si="48"/>
        <v/>
      </c>
      <c r="V38" s="1" t="str">
        <f t="shared" si="39"/>
        <v/>
      </c>
      <c r="W38" t="str">
        <f t="shared" si="40"/>
        <v/>
      </c>
      <c r="X38" s="2" t="str">
        <f t="shared" si="41"/>
        <v/>
      </c>
      <c r="AT38" s="63"/>
    </row>
    <row r="39" spans="2:46" ht="21" customHeight="1" x14ac:dyDescent="0.25">
      <c r="B39" s="68" t="str">
        <f t="shared" si="42"/>
        <v/>
      </c>
      <c r="C39" s="34"/>
      <c r="D39" s="36" t="str">
        <f t="shared" si="45"/>
        <v/>
      </c>
      <c r="E39" t="str">
        <f t="shared" si="37"/>
        <v/>
      </c>
      <c r="F39" t="str">
        <f t="shared" si="38"/>
        <v/>
      </c>
      <c r="G39" t="str">
        <f t="shared" si="43"/>
        <v/>
      </c>
      <c r="H39" s="6" t="str">
        <f>IFERROR(IF(C39="","",IF(E39=INDEX(O:O,MATCH(D39,N:N,0)),"best bid "&amp;IF(LEFT(INDEX(Q:Q,MATCH(D39,N:N,0)),1)-1=0,"","("&amp;LEFT(INDEX(Q:Q,MATCH(D39,N:N,0)),1)-1&amp;" with you)"),INDEX(O:O,MATCH(D39,N:N,0))&amp; " bid")&amp;" / "&amp;IF(F39=INDEX(P:P,MATCH(D39,N:N,0)),"best offer "&amp;IF(LEFT(INDEX(R:R,MATCH(D39,N:N,0)),1)-1=0,"","("&amp;LEFT(INDEX(R:R,MATCH(D39,N:N,0)),1)-1&amp;" with you)"),INDEX(P:P,MATCH(D39,N:N,0))&amp;" offer")),"")</f>
        <v/>
      </c>
      <c r="I39" s="6" t="str">
        <f>IFERROR(IF(C39="","",IF(E39=INDEX(O:O,MATCH(D39,N:N,0)),"",INDEX(O:O,MATCH(D39,N:N,0))&amp; " bid")&amp;IF(F39=INDEX(P:P,MATCH(D39,N:N,0)),"",IF(E39=INDEX(O:O,MATCH(D39,N:N,0)),INDEX(P:P,MATCH(D39,N:N,0))&amp;" offer"," / "&amp;INDEX(P:P,MATCH(D39,N:N,0))&amp;" offer"))),"")</f>
        <v/>
      </c>
      <c r="J39" s="1" t="str">
        <f t="shared" si="46"/>
        <v/>
      </c>
      <c r="K39" s="97" t="str">
        <f t="shared" si="47"/>
        <v/>
      </c>
      <c r="L39" t="str">
        <f>IF(AND(E39=$O8,COUNTIF(E:E,$O8)=1),"Best bid solo","") &amp; " " &amp; IF(AND(F39=$P8,COUNTIF(F:F,$P8)=1),"Best offer solo","")</f>
        <v xml:space="preserve"> </v>
      </c>
      <c r="N39" s="134"/>
      <c r="S39" s="6"/>
      <c r="T39" s="6" t="str">
        <f t="shared" si="48"/>
        <v/>
      </c>
      <c r="V39" s="1" t="str">
        <f t="shared" si="39"/>
        <v/>
      </c>
      <c r="W39" t="str">
        <f t="shared" si="40"/>
        <v/>
      </c>
      <c r="X39" s="2" t="str">
        <f t="shared" si="41"/>
        <v/>
      </c>
      <c r="AT39" s="63"/>
    </row>
    <row r="40" spans="2:46" ht="21" customHeight="1" x14ac:dyDescent="0.25">
      <c r="B40" s="68" t="str">
        <f t="shared" si="42"/>
        <v/>
      </c>
      <c r="C40" s="34"/>
      <c r="D40" s="36" t="str">
        <f t="shared" si="45"/>
        <v/>
      </c>
      <c r="E40" t="str">
        <f t="shared" si="37"/>
        <v/>
      </c>
      <c r="F40" t="str">
        <f t="shared" si="38"/>
        <v/>
      </c>
      <c r="G40" t="str">
        <f t="shared" si="43"/>
        <v/>
      </c>
      <c r="H40" s="6" t="str">
        <f>IFERROR(IF(C40="","",IF(E40=INDEX(O:O,MATCH(D40,N:N,0)),"best bid "&amp;IF(LEFT(INDEX(Q:Q,MATCH(D40,N:N,0)),1)-1=0,"","("&amp;LEFT(INDEX(Q:Q,MATCH(D40,N:N,0)),1)-1&amp;" with you)"),INDEX(O:O,MATCH(D40,N:N,0))&amp; " bid")&amp;" / "&amp;IF(F40=INDEX(P:P,MATCH(D40,N:N,0)),"best offer "&amp;IF(LEFT(INDEX(R:R,MATCH(D40,N:N,0)),1)-1=0,"","("&amp;LEFT(INDEX(R:R,MATCH(D40,N:N,0)),1)-1&amp;" with you)"),INDEX(P:P,MATCH(D40,N:N,0))&amp;" offer")),"")</f>
        <v/>
      </c>
      <c r="I40" s="6" t="str">
        <f>IFERROR(IF(C40="","",IF(E40=INDEX(O:O,MATCH(D40,N:N,0)),"",INDEX(O:O,MATCH(D40,N:N,0))&amp; " bid")&amp;IF(F40=INDEX(P:P,MATCH(D40,N:N,0)),"",IF(E40=INDEX(O:O,MATCH(D40,N:N,0)),INDEX(P:P,MATCH(D40,N:N,0))&amp;" offer"," / "&amp;INDEX(P:P,MATCH(D40,N:N,0))&amp;" offer"))),"")</f>
        <v/>
      </c>
      <c r="J40" s="1" t="str">
        <f t="shared" si="46"/>
        <v/>
      </c>
      <c r="K40" s="97" t="str">
        <f>IF(C40="","",IF(I40="",C40,C40&amp;" -&gt; "&amp;I40))</f>
        <v/>
      </c>
      <c r="L40" t="str">
        <f>IF(AND(E40=$O9,COUNTIF(E:E,$O9)=1),"Best bid solo","") &amp; " " &amp; IF(AND(F40=$P9,COUNTIF(F:F,$P9)=1),"Best offer solo","")</f>
        <v xml:space="preserve"> </v>
      </c>
      <c r="N40" s="134"/>
      <c r="S40" s="6"/>
      <c r="T40" s="6" t="str">
        <f t="shared" si="48"/>
        <v/>
      </c>
      <c r="V40" s="1" t="str">
        <f t="shared" si="39"/>
        <v/>
      </c>
      <c r="W40" t="str">
        <f t="shared" si="40"/>
        <v/>
      </c>
      <c r="X40" s="2" t="str">
        <f t="shared" si="41"/>
        <v/>
      </c>
      <c r="AT40" s="63"/>
    </row>
    <row r="41" spans="2:46" ht="21" customHeight="1" x14ac:dyDescent="0.25">
      <c r="B41" s="68" t="str">
        <f t="shared" si="42"/>
        <v/>
      </c>
      <c r="C41" s="34"/>
      <c r="D41" s="36" t="str">
        <f t="shared" si="45"/>
        <v/>
      </c>
      <c r="E41" t="str">
        <f t="shared" si="37"/>
        <v/>
      </c>
      <c r="F41" t="str">
        <f t="shared" si="38"/>
        <v/>
      </c>
      <c r="G41" t="str">
        <f t="shared" si="43"/>
        <v/>
      </c>
      <c r="H41" s="6" t="str">
        <f>IFERROR(IF(C41="","",IF(E41=INDEX(O:O,MATCH(D41,N:N,0)),"best bid "&amp;IF(LEFT(INDEX(Q:Q,MATCH(D41,N:N,0)),1)-1=0,"","("&amp;LEFT(INDEX(Q:Q,MATCH(D41,N:N,0)),1)-1&amp;" with you)"),INDEX(O:O,MATCH(D41,N:N,0))&amp; " bid")&amp;" / "&amp;IF(F41=INDEX(P:P,MATCH(D41,N:N,0)),"best offer "&amp;IF(LEFT(INDEX(R:R,MATCH(D41,N:N,0)),1)-1=0,"","("&amp;LEFT(INDEX(R:R,MATCH(D41,N:N,0)),1)-1&amp;" with you)"),INDEX(P:P,MATCH(D41,N:N,0))&amp;" offer")),"")</f>
        <v/>
      </c>
      <c r="I41" s="6" t="str">
        <f>IFERROR(IF(C41="","",IF(E41=INDEX(O:O,MATCH(D41,N:N,0)),"",INDEX(O:O,MATCH(D41,N:N,0))&amp; " bid")&amp;IF(F41=INDEX(P:P,MATCH(D41,N:N,0)),"",IF(E41=INDEX(O:O,MATCH(D41,N:N,0)),INDEX(P:P,MATCH(D41,N:N,0))&amp;" offer"," / "&amp;INDEX(P:P,MATCH(D41,N:N,0))&amp;" offer"))),"")</f>
        <v/>
      </c>
      <c r="J41" s="1" t="str">
        <f t="shared" si="46"/>
        <v/>
      </c>
      <c r="K41" s="97" t="str">
        <f t="shared" si="47"/>
        <v/>
      </c>
      <c r="L41" t="str">
        <f>IF(AND(E41=$O10,COUNTIF(E:E,$O10)=1),"Best bid solo","") &amp; " " &amp; IF(AND(F41=$P10,COUNTIF(F:F,$P10)=1),"Best offer solo","")</f>
        <v xml:space="preserve"> </v>
      </c>
      <c r="N41" s="134"/>
      <c r="S41" s="6"/>
      <c r="T41" s="6" t="str">
        <f t="shared" si="48"/>
        <v/>
      </c>
      <c r="V41" s="1" t="str">
        <f t="shared" si="39"/>
        <v/>
      </c>
      <c r="W41" t="str">
        <f t="shared" si="40"/>
        <v/>
      </c>
      <c r="X41" s="2" t="str">
        <f t="shared" si="41"/>
        <v/>
      </c>
      <c r="AT41" s="63"/>
    </row>
    <row r="42" spans="2:46" ht="21" customHeight="1" x14ac:dyDescent="0.25">
      <c r="B42" s="68" t="str">
        <f t="shared" si="42"/>
        <v/>
      </c>
      <c r="C42" s="34"/>
      <c r="D42" s="36" t="str">
        <f t="shared" si="45"/>
        <v/>
      </c>
      <c r="E42" t="str">
        <f t="shared" si="37"/>
        <v/>
      </c>
      <c r="F42" t="str">
        <f t="shared" si="38"/>
        <v/>
      </c>
      <c r="G42" t="str">
        <f t="shared" si="43"/>
        <v/>
      </c>
      <c r="H42" s="6" t="str">
        <f>IFERROR(IF(C42="","",IF(E42=INDEX(O:O,MATCH(D42,N:N,0)),"best bid "&amp;IF(LEFT(INDEX(Q:Q,MATCH(D42,N:N,0)),1)-1=0,"","("&amp;LEFT(INDEX(Q:Q,MATCH(D42,N:N,0)),1)-1&amp;" with you)"),INDEX(O:O,MATCH(D42,N:N,0))&amp; " bid")&amp;" / "&amp;IF(F42=INDEX(P:P,MATCH(D42,N:N,0)),"best offer "&amp;IF(LEFT(INDEX(R:R,MATCH(D42,N:N,0)),1)-1=0,"","("&amp;LEFT(INDEX(R:R,MATCH(D42,N:N,0)),1)-1&amp;" with you)"),INDEX(P:P,MATCH(D42,N:N,0))&amp;" offer")),"")</f>
        <v/>
      </c>
      <c r="I42" s="6" t="str">
        <f>IFERROR(IF(C42="","",IF(E42=INDEX(O:O,MATCH(D42,N:N,0)),"",INDEX(O:O,MATCH(D42,N:N,0))&amp; " bid")&amp;IF(F42=INDEX(P:P,MATCH(D42,N:N,0)),"",IF(E42=INDEX(O:O,MATCH(D42,N:N,0)),INDEX(P:P,MATCH(D42,N:N,0))&amp;" offer"," / "&amp;INDEX(P:P,MATCH(D42,N:N,0))&amp;" offer"))),"")</f>
        <v/>
      </c>
      <c r="J42" s="1" t="str">
        <f t="shared" si="46"/>
        <v/>
      </c>
      <c r="K42" s="97" t="str">
        <f t="shared" si="47"/>
        <v/>
      </c>
      <c r="L42" t="str">
        <f>IF(AND(E42=$O11,COUNTIF(E:E,$O11)=1),"Best bid solo","") &amp; " " &amp; IF(AND(F42=$P11,COUNTIF(F:F,$P11)=1),"Best offer solo","")</f>
        <v xml:space="preserve"> </v>
      </c>
      <c r="N42" s="134"/>
      <c r="S42" s="6"/>
      <c r="T42" s="6" t="str">
        <f t="shared" si="48"/>
        <v/>
      </c>
      <c r="V42" s="1" t="str">
        <f t="shared" si="39"/>
        <v/>
      </c>
      <c r="W42" t="str">
        <f t="shared" si="40"/>
        <v/>
      </c>
      <c r="X42" s="2" t="str">
        <f t="shared" si="41"/>
        <v/>
      </c>
      <c r="AT42" s="63"/>
    </row>
    <row r="43" spans="2:46" ht="21" customHeight="1" x14ac:dyDescent="0.25">
      <c r="B43" s="68" t="str">
        <f t="shared" si="42"/>
        <v/>
      </c>
      <c r="C43" s="34"/>
      <c r="D43" s="36" t="str">
        <f t="shared" si="45"/>
        <v/>
      </c>
      <c r="E43" t="str">
        <f t="shared" si="37"/>
        <v/>
      </c>
      <c r="F43" t="str">
        <f t="shared" si="38"/>
        <v/>
      </c>
      <c r="G43" t="str">
        <f t="shared" si="43"/>
        <v/>
      </c>
      <c r="H43" s="6" t="str">
        <f>IFERROR(IF(C43="","",IF(E43=INDEX(O:O,MATCH(D43,N:N,0)),"best bid "&amp;IF(LEFT(INDEX(Q:Q,MATCH(D43,N:N,0)),1)-1=0,"","("&amp;LEFT(INDEX(Q:Q,MATCH(D43,N:N,0)),1)-1&amp;" with you)"),INDEX(O:O,MATCH(D43,N:N,0))&amp; " bid")&amp;" / "&amp;IF(F43=INDEX(P:P,MATCH(D43,N:N,0)),"best offer "&amp;IF(LEFT(INDEX(R:R,MATCH(D43,N:N,0)),1)-1=0,"","("&amp;LEFT(INDEX(R:R,MATCH(D43,N:N,0)),1)-1&amp;" with you)"),INDEX(P:P,MATCH(D43,N:N,0))&amp;" offer")),"")</f>
        <v/>
      </c>
      <c r="I43" s="6" t="str">
        <f>IFERROR(IF(C43="","",IF(E43=INDEX(O:O,MATCH(D43,N:N,0)),"",INDEX(O:O,MATCH(D43,N:N,0))&amp; " bid")&amp;IF(F43=INDEX(P:P,MATCH(D43,N:N,0)),"",IF(E43=INDEX(O:O,MATCH(D43,N:N,0)),INDEX(P:P,MATCH(D43,N:N,0))&amp;" offer"," / "&amp;INDEX(P:P,MATCH(D43,N:N,0))&amp;" offer"))),"")</f>
        <v/>
      </c>
      <c r="J43" s="1" t="str">
        <f t="shared" si="46"/>
        <v/>
      </c>
      <c r="K43" s="97" t="str">
        <f t="shared" si="47"/>
        <v/>
      </c>
      <c r="L43" t="str">
        <f>IF(AND(E43=$O12,COUNTIF(E:E,$O12)=1),"Best bid solo","") &amp; " " &amp; IF(AND(F43=$P12,COUNTIF(F:F,$P12)=1),"Best offer solo","")</f>
        <v xml:space="preserve"> </v>
      </c>
      <c r="S43" s="6"/>
      <c r="T43" s="6" t="str">
        <f t="shared" si="48"/>
        <v/>
      </c>
      <c r="V43" s="1" t="str">
        <f t="shared" si="39"/>
        <v/>
      </c>
      <c r="W43" t="str">
        <f t="shared" si="40"/>
        <v/>
      </c>
      <c r="X43" s="2" t="str">
        <f t="shared" si="41"/>
        <v/>
      </c>
      <c r="AT43" s="63"/>
    </row>
    <row r="44" spans="2:46" ht="21" customHeight="1" x14ac:dyDescent="0.25">
      <c r="B44" s="68" t="str">
        <f t="shared" si="42"/>
        <v/>
      </c>
      <c r="C44" s="34"/>
      <c r="D44" s="36" t="str">
        <f t="shared" si="45"/>
        <v/>
      </c>
      <c r="E44" t="str">
        <f t="shared" si="37"/>
        <v/>
      </c>
      <c r="F44" t="str">
        <f t="shared" si="38"/>
        <v/>
      </c>
      <c r="G44" t="str">
        <f t="shared" si="43"/>
        <v/>
      </c>
      <c r="H44" s="6" t="str">
        <f>IFERROR(IF(C44="","",IF(E44=INDEX(O:O,MATCH(D44,N:N,0)),"best bid "&amp;IF(LEFT(INDEX(Q:Q,MATCH(D44,N:N,0)),1)-1=0,"","("&amp;LEFT(INDEX(Q:Q,MATCH(D44,N:N,0)),1)-1&amp;" with you)"),INDEX(O:O,MATCH(D44,N:N,0))&amp; " bid")&amp;" / "&amp;IF(F44=INDEX(P:P,MATCH(D44,N:N,0)),"best offer "&amp;IF(LEFT(INDEX(R:R,MATCH(D44,N:N,0)),1)-1=0,"","("&amp;LEFT(INDEX(R:R,MATCH(D44,N:N,0)),1)-1&amp;" with you)"),INDEX(P:P,MATCH(D44,N:N,0))&amp;" offer")),"")</f>
        <v/>
      </c>
      <c r="I44" s="6" t="str">
        <f>IFERROR(IF(C44="","",IF(E44=INDEX(O:O,MATCH(D44,N:N,0)),"",INDEX(O:O,MATCH(D44,N:N,0))&amp; " bid")&amp;IF(F44=INDEX(P:P,MATCH(D44,N:N,0)),"",IF(E44=INDEX(O:O,MATCH(D44,N:N,0)),INDEX(P:P,MATCH(D44,N:N,0))&amp;" offer"," / "&amp;INDEX(P:P,MATCH(D44,N:N,0))&amp;" offer"))),"")</f>
        <v/>
      </c>
      <c r="J44" s="1" t="str">
        <f t="shared" si="46"/>
        <v/>
      </c>
      <c r="K44" s="97" t="str">
        <f t="shared" si="47"/>
        <v/>
      </c>
      <c r="L44" t="str">
        <f>IF(AND(E44=$O13,COUNTIF(E:E,$O13)=1),"Best bid solo","") &amp; " " &amp; IF(AND(F44=$P13,COUNTIF(F:F,$P13)=1),"Best offer solo","")</f>
        <v xml:space="preserve"> </v>
      </c>
      <c r="N44" s="102" t="s">
        <v>52</v>
      </c>
      <c r="S44" s="6"/>
      <c r="T44" s="6" t="str">
        <f t="shared" si="48"/>
        <v/>
      </c>
      <c r="V44" s="1" t="str">
        <f t="shared" si="39"/>
        <v/>
      </c>
      <c r="W44" t="str">
        <f t="shared" si="40"/>
        <v/>
      </c>
      <c r="X44" s="2" t="str">
        <f t="shared" si="41"/>
        <v/>
      </c>
      <c r="AT44" s="63"/>
    </row>
    <row r="45" spans="2:46" ht="21" customHeight="1" x14ac:dyDescent="0.25">
      <c r="B45" s="68" t="str">
        <f t="shared" ref="B45:B47" si="49">IF(C45="","",IF(B44="",IF(B43="","",B43),B44))</f>
        <v/>
      </c>
      <c r="C45" s="34"/>
      <c r="D45" s="36" t="str">
        <f>IF(C45="","",SUBSTITUTE(LEFT(C45,FIND(" ",C45)-1),"-",""))</f>
        <v/>
      </c>
      <c r="E45" t="str">
        <f t="shared" ref="E45" si="50">IF(C45="","",IFERROR(IFERROR(VALUE(SUBSTITUTE(MID(C45,FIND(" ",C45),FIND("/",C45)-FIND(" ",C45))," ","")),IF(FIND("B",UPPER(C45)),VALUE(MID(C45,FIND(" ",C45),FIND("B",UPPER(C45))-FIND(" ",C45))),"")),""))</f>
        <v/>
      </c>
      <c r="F45" t="str">
        <f t="shared" ref="F45" si="51">IF(C45="","",IFERROR(IFERROR(VALUE(SUBSTITUTE(RIGHT(C45,LEN(C45)-FIND("/",C45))," ","")),IF(FIND("O",UPPER(C45)),VALUE(MID(C45,FIND(" ",C45),FIND("O",UPPER(C45))-FIND(" ",C45))),"")),""))</f>
        <v/>
      </c>
      <c r="G45" t="str">
        <f t="shared" ref="G45:G47" si="52">IF(C45="","",IF(G44="",IF(G43="","",G43),G44))</f>
        <v/>
      </c>
      <c r="H45" s="6" t="str">
        <f>IFERROR(IF(C45="","",IF(E45=INDEX(O:O,MATCH(D45,N:N,0)),"best bid "&amp;IF(LEFT(INDEX(Q:Q,MATCH(D45,N:N,0)),1)-1=0,"","("&amp;LEFT(INDEX(Q:Q,MATCH(D45,N:N,0)),1)-1&amp;" with you)"),INDEX(O:O,MATCH(D45,N:N,0))&amp; " bid")&amp;" / "&amp;IF(F45=INDEX(P:P,MATCH(D45,N:N,0)),"best offer "&amp;IF(LEFT(INDEX(R:R,MATCH(D45,N:N,0)),1)-1=0,"","("&amp;LEFT(INDEX(R:R,MATCH(D45,N:N,0)),1)-1&amp;" with you)"),INDEX(P:P,MATCH(D45,N:N,0))&amp;" offer")),"")</f>
        <v/>
      </c>
      <c r="I45" s="6" t="str">
        <f>IFERROR(IF(C45="","",IF(E45=INDEX(O:O,MATCH(D45,N:N,0)),"",INDEX(O:O,MATCH(D45,N:N,0))&amp; " bid")&amp;IF(F45=INDEX(P:P,MATCH(D45,N:N,0)),"",IF(E45=INDEX(O:O,MATCH(D45,N:N,0)),INDEX(P:P,MATCH(D45,N:N,0))&amp;" offer"," / "&amp;INDEX(P:P,MATCH(D45,N:N,0))&amp;" offer"))),"")</f>
        <v/>
      </c>
      <c r="J45" s="1" t="str">
        <f t="shared" si="46"/>
        <v/>
      </c>
      <c r="K45" s="97" t="str">
        <f t="shared" ref="K45:K48" si="53">IF(C45="","",IF(I45="",C45,C45&amp;" -&gt; "&amp;I45))</f>
        <v/>
      </c>
      <c r="N45" s="24" t="e">
        <f>"Tightest SX5E TRF vs " &amp;IF(IF(IF(IF(G62="",G45,G62)="",G79,IF(G62="",G45,G62))="",G96,IF(IF(G62="",G45,G62)="",G79,IF(G62="",G45,G62)))="",#REF!,IF(IF(IF(G62="",G45,G62)="",G79,IF(G62="",G45,G62))="",G96,IF(IF(G62="",G45,G62)="",G79,IF(G62="",G45,G62))))</f>
        <v>#REF!</v>
      </c>
      <c r="S45" s="7"/>
      <c r="T45" s="7"/>
      <c r="V45" s="1" t="str">
        <f t="shared" si="39"/>
        <v/>
      </c>
      <c r="W45" t="str">
        <f t="shared" si="40"/>
        <v/>
      </c>
      <c r="X45" s="2" t="str">
        <f t="shared" si="41"/>
        <v/>
      </c>
      <c r="AT45" s="63"/>
    </row>
    <row r="46" spans="2:46" ht="21" customHeight="1" x14ac:dyDescent="0.25">
      <c r="B46" s="68" t="str">
        <f t="shared" si="49"/>
        <v/>
      </c>
      <c r="C46" s="34"/>
      <c r="D46" s="36" t="str">
        <f t="shared" ref="D46:D47" si="54">IF(C46="","",SUBSTITUTE(LEFT(C46,FIND(" ",C46)-1),"-",""))</f>
        <v/>
      </c>
      <c r="E46" t="str">
        <f t="shared" ref="E46" si="55">IF(C46="","",IFERROR(IFERROR(VALUE(SUBSTITUTE(MID(C46,FIND(" ",C46),FIND("/",C46)-FIND(" ",C46))," ","")),IF(FIND("B",UPPER(C46)),VALUE(MID(C46,FIND(" ",C46),FIND("B",UPPER(C46))-FIND(" ",C46))),"")),""))</f>
        <v/>
      </c>
      <c r="F46" t="str">
        <f t="shared" ref="F46" si="56">IF(C46="","",IFERROR(IFERROR(VALUE(SUBSTITUTE(RIGHT(C46,LEN(C46)-FIND("/",C46))," ","")),IF(FIND("O",UPPER(C46)),VALUE(MID(C46,FIND(" ",C46),FIND("O",UPPER(C46))-FIND(" ",C46))),"")),""))</f>
        <v/>
      </c>
      <c r="G46" t="str">
        <f t="shared" si="52"/>
        <v/>
      </c>
      <c r="H46" s="6" t="str">
        <f>IFERROR(IF(C46="","",IF(E46=INDEX(O:O,MATCH(D46,N:N,0)),"best bid "&amp;IF(LEFT(INDEX(Q:Q,MATCH(D46,N:N,0)),1)-1=0,"","("&amp;LEFT(INDEX(Q:Q,MATCH(D46,N:N,0)),1)-1&amp;" with you)"),INDEX(O:O,MATCH(D46,N:N,0))&amp; " bid")&amp;" / "&amp;IF(F46=INDEX(P:P,MATCH(D46,N:N,0)),"best offer "&amp;IF(LEFT(INDEX(R:R,MATCH(D46,N:N,0)),1)-1=0,"","("&amp;LEFT(INDEX(R:R,MATCH(D46,N:N,0)),1)-1&amp;" with you)"),INDEX(P:P,MATCH(D46,N:N,0))&amp;" offer")),"")</f>
        <v/>
      </c>
      <c r="I46" s="6" t="str">
        <f>IFERROR(IF(C46="","",IF(E46=INDEX(O:O,MATCH(D46,N:N,0)),"",INDEX(O:O,MATCH(D46,N:N,0))&amp; " bid")&amp;IF(F46=INDEX(P:P,MATCH(D46,N:N,0)),"",IF(E46=INDEX(O:O,MATCH(D46,N:N,0)),INDEX(P:P,MATCH(D46,N:N,0))&amp;" offer"," / "&amp;INDEX(P:P,MATCH(D46,N:N,0))&amp;" offer"))),"")</f>
        <v/>
      </c>
      <c r="J46" s="1" t="str">
        <f t="shared" si="46"/>
        <v/>
      </c>
      <c r="K46" s="97" t="str">
        <f t="shared" si="53"/>
        <v/>
      </c>
      <c r="N46" s="22" t="str">
        <f>IFERROR(IF(Q4="","",N4&amp;" "&amp;O4&amp;" / "&amp;P4 &amp; " --&gt; (" &amp; LEFT(O46,FIND(" ",O46)-1)&amp; " / " &amp; RIGHT(O46,LEN(O46)-FIND(" ",O46)-2)&amp;")"),"")</f>
        <v/>
      </c>
      <c r="O46" t="str">
        <f>IF(OR(ISNUMBER(SEARCH("bnp",Q4))=TRUE,ISNUMBER(SEARCH("barc",Q4))=TRUE,ISNUMBER(SEARCH("jp",Q4))=TRUE),LEFT(Q4,1)*3&amp;"-"&amp;LEFT(Q4,1)*5&amp;"k","Subj")&amp; " / " &amp; IF(OR(ISNUMBER(SEARCH("bnp",R4))=TRUE,ISNUMBER(SEARCH("barc",R4))=TRUE,ISNUMBER(SEARCH("jp",R4))=TRUE),LEFT(R4,1)*3&amp;"-"&amp;LEFT(R4,1)*5&amp;"k","Subj")</f>
        <v>Subj / Subj</v>
      </c>
      <c r="V46" s="1"/>
      <c r="X46" s="2"/>
      <c r="AT46" s="63"/>
    </row>
    <row r="47" spans="2:46" ht="21" customHeight="1" thickBot="1" x14ac:dyDescent="0.3">
      <c r="B47" s="70" t="str">
        <f t="shared" si="49"/>
        <v/>
      </c>
      <c r="C47" s="124"/>
      <c r="D47" s="125" t="str">
        <f t="shared" si="54"/>
        <v/>
      </c>
      <c r="E47" s="71" t="str">
        <f>IF(C47="","",IFERROR(IFERROR(VALUE(SUBSTITUTE(MID(C47,FIND(" ",C47),FIND("/",C47)-FIND(" ",C47))," ","")),IF(FIND("B",UPPER(C47)),VALUE(MID(C47,FIND(" ",C47),FIND("B",UPPER(C47))-FIND(" ",C47))),"")),""))</f>
        <v/>
      </c>
      <c r="F47" s="71" t="str">
        <f>IF(C47="","",IFERROR(IFERROR(VALUE(SUBSTITUTE(RIGHT(C47,LEN(C47)-FIND("/",C47))," ","")),IF(FIND("O",UPPER(C47)),VALUE(MID(C47,FIND(" ",C47),FIND("O",UPPER(C47))-FIND(" ",C47))),"")),""))</f>
        <v/>
      </c>
      <c r="G47" s="71" t="str">
        <f t="shared" si="52"/>
        <v/>
      </c>
      <c r="H47" s="7" t="str">
        <f>IFERROR(IF(C47="","",IF(E47=INDEX(O:O,MATCH(D47,N:N,0)),"best bid "&amp;IF(LEFT(INDEX(Q:Q,MATCH(D47,N:N,0)),1)-1=0,"","("&amp;LEFT(INDEX(Q:Q,MATCH(D47,N:N,0)),1)-1&amp;" with you)"),INDEX(O:O,MATCH(D47,N:N,0))&amp; " bid")&amp;" / "&amp;IF(F47=INDEX(P:P,MATCH(D47,N:N,0)),"best offer "&amp;IF(LEFT(INDEX(R:R,MATCH(D47,N:N,0)),1)-1=0,"","("&amp;LEFT(INDEX(R:R,MATCH(D47,N:N,0)),1)-1&amp;" with you)"),INDEX(P:P,MATCH(D47,N:N,0))&amp;" offer")),"")</f>
        <v/>
      </c>
      <c r="I47" s="7" t="str">
        <f>IFERROR(IF(C47="","",IF(E47=INDEX(O:O,MATCH(D47,N:N,0)),"",INDEX(O:O,MATCH(D47,N:N,0))&amp; " bid")&amp;IF(F47=INDEX(P:P,MATCH(D47,N:N,0)),"",IF(E47=INDEX(O:O,MATCH(D47,N:N,0)),INDEX(P:P,MATCH(D47,N:N,0))&amp;" offer"," / "&amp;INDEX(P:P,MATCH(D47,N:N,0))&amp;" offer"))),"")</f>
        <v/>
      </c>
      <c r="J47" s="3" t="str">
        <f t="shared" si="46"/>
        <v/>
      </c>
      <c r="K47" s="97" t="str">
        <f t="shared" si="53"/>
        <v/>
      </c>
      <c r="N47" s="22" t="str">
        <f t="shared" ref="N47:N57" si="57">IFERROR(IF(Q5="","",N5&amp;" "&amp;O5&amp;" / "&amp;P5 &amp; " --&gt; (" &amp; LEFT(O47,FIND(" ",O47)-1)&amp; " / " &amp; RIGHT(O47,LEN(O47)-FIND(" ",O47)-2)&amp;")"),"")</f>
        <v>Jun23 0 / 0 --&gt; (Subj / Subj)</v>
      </c>
      <c r="O47" t="str">
        <f t="shared" ref="O47:O51" si="58">IF(OR(ISNUMBER(SEARCH("bnp",Q5))=TRUE,ISNUMBER(SEARCH("barc",Q5))=TRUE,ISNUMBER(SEARCH("jp",Q5))=TRUE),LEFT(Q5,1)*3&amp;"-"&amp;LEFT(Q5,1)*5&amp;"k","Subj")&amp; " / " &amp; IF(OR(ISNUMBER(SEARCH("bnp",R5))=TRUE,ISNUMBER(SEARCH("barc",R5))=TRUE,ISNUMBER(SEARCH("jp",R5))=TRUE),LEFT(R5,1)*3&amp;"-"&amp;LEFT(R5,1)*5&amp;"k","Subj")</f>
        <v>Subj / Subj</v>
      </c>
      <c r="V47" s="1" t="str">
        <f t="shared" ref="V47:V50" si="59">IF(S53="","",SUBSTITUTE(LEFT(S53,FIND(" ",S53)-1),"-",""))</f>
        <v/>
      </c>
      <c r="W47" t="str">
        <f t="shared" ref="W47:W50" si="60">IF(S53="","",IFERROR(IFERROR(VALUE(SUBSTITUTE(MID(S53,FIND(" ",S53),FIND("/",S53)-FIND(" ",S53))," ","")),IF(FIND("B",UPPER(S53)),VALUE(MID(S53,FIND(" ",S53),FIND("B",UPPER(S53))-FIND(" ",S53))),"")),""))</f>
        <v/>
      </c>
      <c r="X47" s="2" t="str">
        <f t="shared" ref="X47:X50" si="61">IF(S53="","",IFERROR(IFERROR(VALUE(SUBSTITUTE(RIGHT(S53,LEN(S53)-FIND("/",S53))," ","")),IF(FIND("O",UPPER(S53)),VALUE(MID(S53,FIND(" ",S53),FIND("O",UPPER(S53))-FIND(" ",S53))),"")),""))</f>
        <v/>
      </c>
      <c r="AT47" s="63"/>
    </row>
    <row r="48" spans="2:46" ht="21" customHeight="1" thickBot="1" x14ac:dyDescent="0.3">
      <c r="D48" s="78" t="str">
        <f>IF(AND(D35&lt;&gt;"Jun23",D36&lt;&gt;"Jun23",D37&lt;&gt;"Jun23",C34&lt;&gt;""),"Jun23","")</f>
        <v/>
      </c>
      <c r="K48" s="104" t="str">
        <f t="shared" si="53"/>
        <v/>
      </c>
      <c r="N48" s="22" t="str">
        <f t="shared" si="57"/>
        <v>Dec23 16 / 18 --&gt; (3-5k / 3-5k)</v>
      </c>
      <c r="O48" t="str">
        <f t="shared" si="58"/>
        <v>3-5k / 3-5k</v>
      </c>
      <c r="V48" s="1" t="str">
        <f t="shared" si="59"/>
        <v/>
      </c>
      <c r="W48" t="str">
        <f t="shared" si="60"/>
        <v/>
      </c>
      <c r="X48" s="2" t="str">
        <f t="shared" si="61"/>
        <v/>
      </c>
      <c r="AT48" s="63"/>
    </row>
    <row r="49" spans="2:46" ht="21" customHeight="1" thickBot="1" x14ac:dyDescent="0.3">
      <c r="N49" s="22" t="str">
        <f t="shared" si="57"/>
        <v>Dec24 21 / 23 --&gt; (3-5k / 3-5k)</v>
      </c>
      <c r="O49" t="str">
        <f t="shared" si="58"/>
        <v>3-5k / 3-5k</v>
      </c>
      <c r="V49" s="1" t="str">
        <f t="shared" si="59"/>
        <v/>
      </c>
      <c r="W49" t="str">
        <f t="shared" si="60"/>
        <v/>
      </c>
      <c r="X49" s="2" t="str">
        <f t="shared" si="61"/>
        <v/>
      </c>
      <c r="AT49" s="63"/>
    </row>
    <row r="50" spans="2:46" ht="21" customHeight="1" thickBot="1" x14ac:dyDescent="0.3">
      <c r="D50" s="36" t="str">
        <f>IF(C50="","",SUBSTITUTE(LEFT(C50,FIND(" ",C50)-1),"-",""))</f>
        <v/>
      </c>
      <c r="E50" s="36"/>
      <c r="F50" s="36"/>
      <c r="G50" s="36"/>
      <c r="H50" s="37"/>
      <c r="I50" s="38"/>
      <c r="J50" s="129" t="str">
        <f>IF(B51="BNP","Ton feedback Hugo",IF(B51="JP","Ton feedback Tomasz",IF(B51="Barc","Your feedback Nathaniel",IF(B51="GS","Your feedback Ken-Ji",""))))</f>
        <v>Your feedback Ken-Ji</v>
      </c>
      <c r="K50" s="158" t="str">
        <f>J50</f>
        <v>Your feedback Ken-Ji</v>
      </c>
      <c r="N50" s="22" t="str">
        <f t="shared" si="57"/>
        <v>Dec25 26.5 / 28.5 --&gt; (3-5k / 3-5k)</v>
      </c>
      <c r="O50" t="str">
        <f t="shared" si="58"/>
        <v>3-5k / 3-5k</v>
      </c>
      <c r="S50" s="55"/>
      <c r="T50" s="56" t="s">
        <v>36</v>
      </c>
      <c r="V50" s="1" t="str">
        <f t="shared" si="59"/>
        <v/>
      </c>
      <c r="W50" t="str">
        <f t="shared" si="60"/>
        <v/>
      </c>
      <c r="X50" s="2" t="str">
        <f t="shared" si="61"/>
        <v/>
      </c>
      <c r="AT50" s="63"/>
    </row>
    <row r="51" spans="2:46" ht="21" customHeight="1" thickBot="1" x14ac:dyDescent="0.3">
      <c r="B51" s="127" t="s">
        <v>19</v>
      </c>
      <c r="C51" s="128"/>
      <c r="D51" s="81" t="str">
        <f>IF(C51="","",SUBSTITUTE(LEFT(C51,FIND(" ",C51)-1),"-",""))</f>
        <v/>
      </c>
      <c r="E51" s="81" t="str">
        <f t="shared" ref="E51:E62" si="62">IF(C51="","",IFERROR(IFERROR(VALUE(SUBSTITUTE(MID(C51,FIND(" ",C51),FIND("/",C51)-FIND(" ",C51))," ","")),IF(FIND("B",UPPER(C51)),VALUE(MID(C51,FIND(" ",C51),FIND("B",UPPER(C51))-FIND(" ",C51))),"")),""))</f>
        <v/>
      </c>
      <c r="F51" s="81" t="str">
        <f t="shared" ref="F51:F62" si="63">IF(C51="","",IFERROR(IFERROR(VALUE(SUBSTITUTE(RIGHT(C51,LEN(C51)-FIND("/",C51))," ","")),IF(FIND("O",UPPER(C51)),VALUE(MID(C51,FIND(" ",C51),FIND("O",UPPER(C51))-FIND(" ",C51))),"")),""))</f>
        <v/>
      </c>
      <c r="G51" s="126" t="str">
        <f>IF(C51="","",VALUE(SUBSTITUTE(SUBSTITUTE(SUBSTITUTE(SUBSTITUTE(SUBSTITUTE(RIGHT(C51,LEN(C51)-FIND("vs",C51)+1),"basis",""),"vs.","")," ",""),":",""),"vs","")))</f>
        <v/>
      </c>
      <c r="H51" s="123" t="s">
        <v>13</v>
      </c>
      <c r="I51" s="43" t="s">
        <v>14</v>
      </c>
      <c r="J51" s="1">
        <f>C51</f>
        <v>0</v>
      </c>
      <c r="K51" s="97">
        <f>C51</f>
        <v>0</v>
      </c>
      <c r="N51" s="22" t="str">
        <f t="shared" si="57"/>
        <v>Dec26 33 / 35 --&gt; (3-5k / 3-5k)</v>
      </c>
      <c r="O51" t="str">
        <f t="shared" si="58"/>
        <v>3-5k / 3-5k</v>
      </c>
      <c r="S51" s="6"/>
      <c r="T51" s="6" t="str">
        <f>IF(W45&lt;E51,"Better Bid",IF(W45&gt;E51,"Worse bid","")) &amp; " " &amp; IF(X45&gt;F51,"Better offer",IF(X45&lt;F51,"Worse offer",""))</f>
        <v xml:space="preserve"> </v>
      </c>
      <c r="V51" s="44" t="str">
        <f t="shared" ref="V51:V61" si="64">IF(S51="","",SUBSTITUTE(LEFT(S51,FIND(" ",S51)-1),"-",""))</f>
        <v/>
      </c>
      <c r="W51" s="12" t="str">
        <f t="shared" ref="W51:W61" si="65">IF(S51="","",IFERROR(IFERROR(VALUE(SUBSTITUTE(MID(S51,FIND(" ",S51),FIND("/",S51)-FIND(" ",S51))," ","")),IF(FIND("B",UPPER(S51)),VALUE(MID(S51,FIND(" ",S51),FIND("B",UPPER(S51))-FIND(" ",S51))),"")),""))</f>
        <v/>
      </c>
      <c r="X51" s="14" t="str">
        <f t="shared" ref="X51:X61" si="66">IF(S51="","",IFERROR(IFERROR(VALUE(SUBSTITUTE(RIGHT(S51,LEN(S51)-FIND("/",S51))," ","")),IF(FIND("O",UPPER(S51)),VALUE(MID(S51,FIND(" ",S51),FIND("O",UPPER(S51))-FIND(" ",S51))),"")),""))</f>
        <v/>
      </c>
      <c r="AT51" s="63"/>
    </row>
    <row r="52" spans="2:46" ht="21" customHeight="1" x14ac:dyDescent="0.25">
      <c r="B52" s="68" t="str">
        <f t="shared" ref="B52:B62" si="67">IF(C52="","",IF(B51="",IF(B50="","",B50),B51))</f>
        <v/>
      </c>
      <c r="C52" s="34"/>
      <c r="D52" s="36" t="str">
        <f>IF(C52="","",SUBSTITUTE(LEFT(C52,FIND(" ",C52)-1),"-",""))</f>
        <v/>
      </c>
      <c r="E52" t="str">
        <f t="shared" si="62"/>
        <v/>
      </c>
      <c r="F52" t="str">
        <f t="shared" si="63"/>
        <v/>
      </c>
      <c r="G52" s="69" t="str">
        <f t="shared" ref="G52:G62" si="68">IF(C52="","",IF(G51="",IF(G50="","",G50),G51))</f>
        <v/>
      </c>
      <c r="I52" s="44" t="str">
        <f>IFERROR(IF(C52="","",IF(E52=INDEX(O:O,MATCH(D52,N:N,0)),"",INDEX(O:O,MATCH(D52,N:N,0))&amp; " bid")&amp;IF(F52=INDEX(P:P,MATCH(D52,N:N,0)),"",IF(E52=INDEX(O:O,MATCH(D52,N:N,0)),INDEX(P:P,MATCH(D52,N:N,0))&amp;" offer"," / "&amp;INDEX(P:P,MATCH(D52,N:N,0))&amp;" offer"))),"")</f>
        <v/>
      </c>
      <c r="J52" s="1" t="str">
        <f>IF(B52="JP",IF(C52="","",IF(I52="",C52,C52&amp;" -&gt; "&amp;I52)),IF(C52="","",IF(H52="",C52,C52&amp;" -&gt; "&amp;H52)))</f>
        <v/>
      </c>
      <c r="K52" s="97"/>
      <c r="N52" s="22" t="str">
        <f t="shared" si="57"/>
        <v>Dec27 39.5 / 41.5 --&gt; (2-3k / 2-3k)</v>
      </c>
      <c r="O52" t="str">
        <f>IF(OR(ISNUMBER(SEARCH("bnp",Q10))=TRUE,ISNUMBER(SEARCH("barc",Q10))=TRUE,ISNUMBER(SEARCH("jp",Q10))=TRUE),LEFT(Q10,1)*2&amp;"-"&amp;LEFT(Q10,1)*3&amp;"k","Subj")&amp; " / " &amp; IF(OR(ISNUMBER(SEARCH("bnp",R10))=TRUE,ISNUMBER(SEARCH("barc",R10))=TRUE,ISNUMBER(SEARCH("jp",R10))=TRUE),LEFT(R10,1)*2&amp;"-"&amp;LEFT(R10,1)*3&amp;"k","Subj")</f>
        <v>2-3k / 2-3k</v>
      </c>
      <c r="S52" s="6"/>
      <c r="T52" s="6" t="str">
        <f t="shared" ref="T52:T62" si="69">IF(W46&lt;E52, "Better Bid | ",IF(W46&gt;E52,"Worse bid | ","")) &amp; IF(X46&gt;F52,"Better offer",IF(X46&lt;F52,"Worse offer",""))</f>
        <v/>
      </c>
      <c r="V52" s="1" t="str">
        <f t="shared" si="64"/>
        <v/>
      </c>
      <c r="W52" t="str">
        <f t="shared" si="65"/>
        <v/>
      </c>
      <c r="X52" s="2" t="str">
        <f t="shared" si="66"/>
        <v/>
      </c>
      <c r="AT52" s="63"/>
    </row>
    <row r="53" spans="2:46" ht="21" customHeight="1" x14ac:dyDescent="0.25">
      <c r="B53" s="68" t="str">
        <f t="shared" si="67"/>
        <v/>
      </c>
      <c r="C53" s="34"/>
      <c r="D53" s="36" t="str">
        <f t="shared" ref="D53:D61" si="70">IF(C53="","",SUBSTITUTE(SUBSTITUTE(LEFT(C53,FIND(" ",C53)-1),"-",""),":",""))</f>
        <v/>
      </c>
      <c r="E53" t="str">
        <f t="shared" si="62"/>
        <v/>
      </c>
      <c r="F53" t="str">
        <f t="shared" si="63"/>
        <v/>
      </c>
      <c r="G53" s="69" t="str">
        <f t="shared" si="68"/>
        <v/>
      </c>
      <c r="H53" s="2" t="str">
        <f>IFERROR(IF(C53="","",IF(E53=INDEX(O:O,MATCH(D53,N:N,0)),"best bid "&amp;IF(LEFT(INDEX(Q:Q,MATCH(D53,N:N,0)),1)-1=0,"","("&amp;LEFT(INDEX(Q:Q,MATCH(D53,N:N,0)),1)-1&amp;" with you)"),INDEX(O:O,MATCH(D53,N:N,0))&amp; " bid")&amp;" / "&amp;IF(F53=INDEX(P:P,MATCH(D53,N:N,0)),"best offer "&amp;IF(LEFT(INDEX(R:R,MATCH(D53,N:N,0)),1)-1=0,"","("&amp;LEFT(INDEX(R:R,MATCH(D53,N:N,0)),1)-1&amp;" with you)"),INDEX(P:P,MATCH(D53,N:N,0))&amp;" offer")),"")</f>
        <v/>
      </c>
      <c r="I53" s="1" t="str">
        <f>IFERROR(IF(C53="","",IF(E53=INDEX(O:O,MATCH(D53,N:N,0)),"",INDEX(O:O,MATCH(D53,N:N,0))&amp; " bid")&amp;IF(F53=INDEX(P:P,MATCH(D53,N:N,0)),"",IF(E53=INDEX(O:O,MATCH(D53,N:N,0)),INDEX(P:P,MATCH(D53,N:N,0))&amp;" offer"," / "&amp;INDEX(P:P,MATCH(D53,N:N,0))&amp;" offer"))),"")</f>
        <v/>
      </c>
      <c r="J53" s="1" t="str">
        <f>IF(C53="","",IF(I53="",C53,C53&amp;" -&gt; "&amp;I53))</f>
        <v/>
      </c>
      <c r="K53" s="97" t="str">
        <f t="shared" ref="K53:K64" si="71">IF(C53="","",IF(I53="",C53,C53&amp;" -&gt; "&amp;I53))</f>
        <v/>
      </c>
      <c r="L53" t="str">
        <f>IF(AND(E53=$O5,COUNTIF(E:E,$O5)=1),"Best bid solo","") &amp; " " &amp; IF(AND(F53=$P5,COUNTIF(F:F,$P5)=1),"Best offer solo","")</f>
        <v xml:space="preserve"> </v>
      </c>
      <c r="N53" s="22" t="str">
        <f t="shared" si="57"/>
        <v>Dec28 46.5 / 48.5 --&gt; (2-3k / 2-3k)</v>
      </c>
      <c r="O53" t="str">
        <f t="shared" ref="O53:O56" si="72">IF(OR(ISNUMBER(SEARCH("bnp",Q11))=TRUE,ISNUMBER(SEARCH("barc",Q11))=TRUE,ISNUMBER(SEARCH("jp",Q11))=TRUE),LEFT(Q11,1)*2&amp;"-"&amp;LEFT(Q11,1)*3&amp;"k","Subj")&amp; " / " &amp; IF(OR(ISNUMBER(SEARCH("bnp",R11))=TRUE,ISNUMBER(SEARCH("barc",R11))=TRUE,ISNUMBER(SEARCH("jp",R11))=TRUE),LEFT(R11,1)*2&amp;"-"&amp;LEFT(R11,1)*3&amp;"k","Subj")</f>
        <v>2-3k / 2-3k</v>
      </c>
      <c r="S53" s="6"/>
      <c r="T53" s="6" t="str">
        <f>IF(W53&lt;E53, "Better Bid | ",IF(W53&gt;E53,"Worse bid | ","")) &amp; IF(X53&gt;F53,"Better offer",IF(X53&lt;F53,"Worse offer",""))</f>
        <v/>
      </c>
      <c r="V53" s="1" t="str">
        <f t="shared" si="64"/>
        <v/>
      </c>
      <c r="W53" t="str">
        <f t="shared" si="65"/>
        <v/>
      </c>
      <c r="X53" s="2" t="str">
        <f t="shared" si="66"/>
        <v/>
      </c>
      <c r="AT53" s="63"/>
    </row>
    <row r="54" spans="2:46" ht="21" customHeight="1" x14ac:dyDescent="0.25">
      <c r="B54" s="68" t="str">
        <f t="shared" si="67"/>
        <v/>
      </c>
      <c r="C54" s="34"/>
      <c r="D54" s="36" t="str">
        <f t="shared" si="70"/>
        <v/>
      </c>
      <c r="E54" t="str">
        <f t="shared" si="62"/>
        <v/>
      </c>
      <c r="F54" t="str">
        <f t="shared" si="63"/>
        <v/>
      </c>
      <c r="G54" s="69" t="str">
        <f t="shared" si="68"/>
        <v/>
      </c>
      <c r="H54" s="2" t="str">
        <f>IFERROR(IF(C54="","",IF(E54=INDEX(O:O,MATCH(D54,N:N,0)),"best bid "&amp;IF(LEFT(INDEX(Q:Q,MATCH(D54,N:N,0)),1)-1=0,"","("&amp;LEFT(INDEX(Q:Q,MATCH(D54,N:N,0)),1)-1&amp;" with you)"),INDEX(O:O,MATCH(D54,N:N,0))&amp; " bid")&amp;" / "&amp;IF(F54=INDEX(P:P,MATCH(D54,N:N,0)),"best offer "&amp;IF(LEFT(INDEX(R:R,MATCH(D54,N:N,0)),1)-1=0,"","("&amp;LEFT(INDEX(R:R,MATCH(D54,N:N,0)),1)-1&amp;" with you)"),INDEX(P:P,MATCH(D54,N:N,0))&amp;" offer")),"")</f>
        <v/>
      </c>
      <c r="I54" s="1" t="str">
        <f>IFERROR(IF(C54="","",IF(E54=INDEX(O:O,MATCH(D54,N:N,0)),"",INDEX(O:O,MATCH(D54,N:N,0))&amp; " bid")&amp;IF(F54=INDEX(P:P,MATCH(D54,N:N,0)),"",IF(E54=INDEX(O:O,MATCH(D54,N:N,0)),INDEX(P:P,MATCH(D54,N:N,0))&amp;" offer"," / "&amp;INDEX(P:P,MATCH(D54,N:N,0))&amp;" offer"))),"")</f>
        <v/>
      </c>
      <c r="J54" s="1" t="str">
        <f t="shared" ref="J54:J61" si="73">IF(C54="","",D54&amp;" "&amp;LEFT(U48,1)&amp;VLOOKUP(D54,$N$5:$P$14,2,FALSE)&amp;IF(E54&lt;&gt;VLOOKUP(D54,$N$5:$P$14,2,FALSE),"*","")&amp;RIGHT(U48,1)&amp;" / "&amp;LEFT(AT48,1)&amp;VLOOKUP(D54,$N$5:$P$14,3,FALSE)&amp;IF(F54&lt;&gt;VLOOKUP(D54,$N$5:$P$14,3,FALSE),"*","")&amp;RIGHT(AT48,1))</f>
        <v/>
      </c>
      <c r="K54" s="97" t="str">
        <f t="shared" si="71"/>
        <v/>
      </c>
      <c r="L54" t="str">
        <f>IF(AND(E54=$O6,COUNTIF(E:E,$O6)=1),"Best bid solo","") &amp; " " &amp; IF(AND(F54=$P6,COUNTIF(F:F,$P6)=1),"Best offer solo","")</f>
        <v xml:space="preserve"> </v>
      </c>
      <c r="N54" s="22" t="str">
        <f t="shared" si="57"/>
        <v>Dec29 53.5 / 56.5 --&gt; (2-3k / 2-3k)</v>
      </c>
      <c r="O54" t="str">
        <f t="shared" si="72"/>
        <v>2-3k / 2-3k</v>
      </c>
      <c r="S54" s="6"/>
      <c r="T54" s="6" t="str">
        <f t="shared" ref="T54:T61" si="74">IF(W54&lt;E54, "Better Bid | ",IF(W54&gt;E54,"Worse bid | ","")) &amp; IF(X54&gt;F54,"Better offer",IF(X54&lt;F54,"Worse offer",""))</f>
        <v/>
      </c>
      <c r="V54" s="1" t="str">
        <f t="shared" si="64"/>
        <v/>
      </c>
      <c r="W54" t="str">
        <f t="shared" si="65"/>
        <v/>
      </c>
      <c r="X54" s="2" t="str">
        <f t="shared" si="66"/>
        <v/>
      </c>
      <c r="AT54" s="63"/>
    </row>
    <row r="55" spans="2:46" ht="21" customHeight="1" x14ac:dyDescent="0.25">
      <c r="B55" s="68" t="str">
        <f t="shared" si="67"/>
        <v/>
      </c>
      <c r="C55" s="34"/>
      <c r="D55" s="36" t="str">
        <f t="shared" si="70"/>
        <v/>
      </c>
      <c r="E55" t="str">
        <f t="shared" si="62"/>
        <v/>
      </c>
      <c r="F55" t="str">
        <f t="shared" si="63"/>
        <v/>
      </c>
      <c r="G55" s="69" t="str">
        <f t="shared" si="68"/>
        <v/>
      </c>
      <c r="H55" s="2" t="str">
        <f>IFERROR(IF(C55="","",IF(E55=INDEX(O:O,MATCH(D55,N:N,0)),"best bid "&amp;IF(LEFT(INDEX(Q:Q,MATCH(D55,N:N,0)),1)-1=0,"","("&amp;LEFT(INDEX(Q:Q,MATCH(D55,N:N,0)),1)-1&amp;" with you)"),INDEX(O:O,MATCH(D55,N:N,0))&amp; " bid")&amp;" / "&amp;IF(F55=INDEX(P:P,MATCH(D55,N:N,0)),"best offer "&amp;IF(LEFT(INDEX(R:R,MATCH(D55,N:N,0)),1)-1=0,"","("&amp;LEFT(INDEX(R:R,MATCH(D55,N:N,0)),1)-1&amp;" with you)"),INDEX(P:P,MATCH(D55,N:N,0))&amp;" offer")),"")</f>
        <v/>
      </c>
      <c r="I55" s="1" t="str">
        <f>IFERROR(IF(C55="","",IF(E55=INDEX(O:O,MATCH(D55,N:N,0)),"",INDEX(O:O,MATCH(D55,N:N,0))&amp; " bid")&amp;IF(F55=INDEX(P:P,MATCH(D55,N:N,0)),"",IF(E55=INDEX(O:O,MATCH(D55,N:N,0)),INDEX(P:P,MATCH(D55,N:N,0))&amp;" offer"," / "&amp;INDEX(P:P,MATCH(D55,N:N,0))&amp;" offer"))),"")</f>
        <v/>
      </c>
      <c r="J55" s="1" t="str">
        <f t="shared" si="73"/>
        <v/>
      </c>
      <c r="K55" s="97" t="str">
        <f t="shared" si="71"/>
        <v/>
      </c>
      <c r="L55" t="str">
        <f>IF(AND(E55=$O7,COUNTIF(E:E,$O7)=1),"Best bid solo","") &amp; " " &amp; IF(AND(F55=$P7,COUNTIF(F:F,$P7)=1),"Best offer solo","")</f>
        <v xml:space="preserve"> </v>
      </c>
      <c r="N55" s="22" t="str">
        <f t="shared" si="57"/>
        <v>Dec30 60 / 64 --&gt; (2-3k / 2-3k)</v>
      </c>
      <c r="O55" t="str">
        <f t="shared" si="72"/>
        <v>2-3k / 2-3k</v>
      </c>
      <c r="S55" s="6"/>
      <c r="T55" s="6" t="str">
        <f t="shared" si="74"/>
        <v/>
      </c>
      <c r="V55" s="1" t="str">
        <f t="shared" si="64"/>
        <v/>
      </c>
      <c r="W55" t="str">
        <f t="shared" si="65"/>
        <v/>
      </c>
      <c r="X55" s="2" t="str">
        <f t="shared" si="66"/>
        <v/>
      </c>
      <c r="AT55" s="63"/>
    </row>
    <row r="56" spans="2:46" ht="21" customHeight="1" x14ac:dyDescent="0.25">
      <c r="B56" s="68" t="str">
        <f t="shared" si="67"/>
        <v/>
      </c>
      <c r="C56" s="34"/>
      <c r="D56" s="36" t="str">
        <f t="shared" si="70"/>
        <v/>
      </c>
      <c r="E56" t="str">
        <f t="shared" si="62"/>
        <v/>
      </c>
      <c r="F56" t="str">
        <f t="shared" si="63"/>
        <v/>
      </c>
      <c r="G56" s="69" t="str">
        <f t="shared" si="68"/>
        <v/>
      </c>
      <c r="H56" s="2" t="str">
        <f>IFERROR(IF(C56="","",IF(E56=INDEX(O:O,MATCH(D56,N:N,0)),"best bid "&amp;IF(LEFT(INDEX(Q:Q,MATCH(D56,N:N,0)),1)-1=0,"","("&amp;LEFT(INDEX(Q:Q,MATCH(D56,N:N,0)),1)-1&amp;" with you)"),INDEX(O:O,MATCH(D56,N:N,0))&amp; " bid")&amp;" / "&amp;IF(F56=INDEX(P:P,MATCH(D56,N:N,0)),"best offer "&amp;IF(LEFT(INDEX(R:R,MATCH(D56,N:N,0)),1)-1=0,"","("&amp;LEFT(INDEX(R:R,MATCH(D56,N:N,0)),1)-1&amp;" with you)"),INDEX(P:P,MATCH(D56,N:N,0))&amp;" offer")),"")</f>
        <v/>
      </c>
      <c r="I56" s="1" t="str">
        <f>IFERROR(IF(C56="","",IF(E56=INDEX(O:O,MATCH(D56,N:N,0)),"",INDEX(O:O,MATCH(D56,N:N,0))&amp; " bid")&amp;IF(F56=INDEX(P:P,MATCH(D56,N:N,0)),"",IF(E56=INDEX(O:O,MATCH(D56,N:N,0)),INDEX(P:P,MATCH(D56,N:N,0))&amp;" offer"," / "&amp;INDEX(P:P,MATCH(D56,N:N,0))&amp;" offer"))),"")</f>
        <v/>
      </c>
      <c r="J56" s="1" t="str">
        <f t="shared" si="73"/>
        <v/>
      </c>
      <c r="K56" s="97" t="str">
        <f t="shared" si="71"/>
        <v/>
      </c>
      <c r="L56" t="str">
        <f>IF(AND(E56=$O8,COUNTIF(E:E,$O8)=1),"Best bid solo","") &amp; " " &amp; IF(AND(F56=$P8,COUNTIF(F:F,$P8)=1),"Best offer solo","")</f>
        <v xml:space="preserve"> </v>
      </c>
      <c r="N56" s="22" t="str">
        <f t="shared" si="57"/>
        <v>Dec31 66.5 / 72.5 --&gt; (2-3k / 2-3k)</v>
      </c>
      <c r="O56" t="str">
        <f t="shared" si="72"/>
        <v>2-3k / 2-3k</v>
      </c>
      <c r="S56" s="6"/>
      <c r="T56" s="6" t="str">
        <f t="shared" si="74"/>
        <v/>
      </c>
      <c r="V56" s="1" t="str">
        <f t="shared" si="64"/>
        <v/>
      </c>
      <c r="W56" t="str">
        <f t="shared" si="65"/>
        <v/>
      </c>
      <c r="X56" s="2" t="str">
        <f t="shared" si="66"/>
        <v/>
      </c>
      <c r="AT56" s="63"/>
    </row>
    <row r="57" spans="2:46" ht="21" customHeight="1" x14ac:dyDescent="0.25">
      <c r="B57" s="68" t="str">
        <f t="shared" si="67"/>
        <v/>
      </c>
      <c r="C57" s="34"/>
      <c r="D57" s="36" t="str">
        <f t="shared" si="70"/>
        <v/>
      </c>
      <c r="E57" t="str">
        <f t="shared" si="62"/>
        <v/>
      </c>
      <c r="F57" t="str">
        <f t="shared" si="63"/>
        <v/>
      </c>
      <c r="G57" s="69" t="str">
        <f t="shared" si="68"/>
        <v/>
      </c>
      <c r="H57" s="2" t="str">
        <f>IFERROR(IF(C57="","",IF(E57=INDEX(O:O,MATCH(D57,N:N,0)),"best bid "&amp;IF(LEFT(INDEX(Q:Q,MATCH(D57,N:N,0)),1)-1=0,"","("&amp;LEFT(INDEX(Q:Q,MATCH(D57,N:N,0)),1)-1&amp;" with you)"),INDEX(O:O,MATCH(D57,N:N,0))&amp; " bid")&amp;" / "&amp;IF(F57=INDEX(P:P,MATCH(D57,N:N,0)),"best offer "&amp;IF(LEFT(INDEX(R:R,MATCH(D57,N:N,0)),1)-1=0,"","("&amp;LEFT(INDEX(R:R,MATCH(D57,N:N,0)),1)-1&amp;" with you)"),INDEX(P:P,MATCH(D57,N:N,0))&amp;" offer")),"")</f>
        <v/>
      </c>
      <c r="I57" s="1" t="str">
        <f>IFERROR(IF(C57="","",IF(E57=INDEX(O:O,MATCH(D57,N:N,0)),"",INDEX(O:O,MATCH(D57,N:N,0))&amp; " bid")&amp;IF(F57=INDEX(P:P,MATCH(D57,N:N,0)),"",IF(E57=INDEX(O:O,MATCH(D57,N:N,0)),INDEX(P:P,MATCH(D57,N:N,0))&amp;" offer"," / "&amp;INDEX(P:P,MATCH(D57,N:N,0))&amp;" offer"))),"")</f>
        <v/>
      </c>
      <c r="J57" s="1" t="str">
        <f t="shared" si="73"/>
        <v/>
      </c>
      <c r="K57" s="97" t="str">
        <f t="shared" si="71"/>
        <v/>
      </c>
      <c r="L57" t="str">
        <f>IF(AND(E57=$O9,COUNTIF(E:E,$O9)=1),"Best bid solo","") &amp; " " &amp; IF(AND(F57=$P9,COUNTIF(F:F,$P9)=1),"Best offer solo","")</f>
        <v xml:space="preserve"> </v>
      </c>
      <c r="N57" s="22" t="str">
        <f t="shared" si="57"/>
        <v/>
      </c>
      <c r="S57" s="6"/>
      <c r="T57" s="6" t="str">
        <f t="shared" si="74"/>
        <v/>
      </c>
      <c r="V57" s="1" t="str">
        <f t="shared" si="64"/>
        <v/>
      </c>
      <c r="W57" t="str">
        <f t="shared" si="65"/>
        <v/>
      </c>
      <c r="X57" s="2" t="str">
        <f t="shared" si="66"/>
        <v/>
      </c>
      <c r="AT57" s="63"/>
    </row>
    <row r="58" spans="2:46" ht="21" customHeight="1" x14ac:dyDescent="0.25">
      <c r="B58" s="68" t="str">
        <f t="shared" si="67"/>
        <v/>
      </c>
      <c r="C58" s="34"/>
      <c r="D58" s="36" t="str">
        <f t="shared" si="70"/>
        <v/>
      </c>
      <c r="E58" t="str">
        <f t="shared" si="62"/>
        <v/>
      </c>
      <c r="F58" t="str">
        <f t="shared" si="63"/>
        <v/>
      </c>
      <c r="G58" s="69" t="str">
        <f t="shared" si="68"/>
        <v/>
      </c>
      <c r="H58" s="2" t="str">
        <f>IFERROR(IF(C58="","",IF(E58=INDEX(O:O,MATCH(D58,N:N,0)),"best bid "&amp;IF(LEFT(INDEX(Q:Q,MATCH(D58,N:N,0)),1)-1=0,"","("&amp;LEFT(INDEX(Q:Q,MATCH(D58,N:N,0)),1)-1&amp;" with you)"),INDEX(O:O,MATCH(D58,N:N,0))&amp; " bid")&amp;" / "&amp;IF(F58=INDEX(P:P,MATCH(D58,N:N,0)),"best offer "&amp;IF(LEFT(INDEX(R:R,MATCH(D58,N:N,0)),1)-1=0,"","("&amp;LEFT(INDEX(R:R,MATCH(D58,N:N,0)),1)-1&amp;" with you)"),INDEX(P:P,MATCH(D58,N:N,0))&amp;" offer")),"")</f>
        <v/>
      </c>
      <c r="I58" s="1" t="str">
        <f>IFERROR(IF(C58="","",IF(E58=INDEX(O:O,MATCH(D58,N:N,0)),"",INDEX(O:O,MATCH(D58,N:N,0))&amp; " bid")&amp;IF(F58=INDEX(P:P,MATCH(D58,N:N,0)),"",IF(E58=INDEX(O:O,MATCH(D58,N:N,0)),INDEX(P:P,MATCH(D58,N:N,0))&amp;" offer"," / "&amp;INDEX(P:P,MATCH(D58,N:N,0))&amp;" offer"))),"")</f>
        <v/>
      </c>
      <c r="J58" s="1" t="str">
        <f t="shared" si="73"/>
        <v/>
      </c>
      <c r="K58" s="97" t="str">
        <f t="shared" si="71"/>
        <v/>
      </c>
      <c r="L58" t="str">
        <f>IF(AND(E58=$O10,COUNTIF(E:E,$O10)=1),"Best bid solo","") &amp; " " &amp; IF(AND(F58=$P10,COUNTIF(F:F,$P10)=1),"Best offer solo","")</f>
        <v xml:space="preserve"> </v>
      </c>
      <c r="S58" s="6"/>
      <c r="T58" s="6" t="str">
        <f t="shared" si="74"/>
        <v/>
      </c>
      <c r="V58" s="1" t="str">
        <f t="shared" si="64"/>
        <v/>
      </c>
      <c r="W58" t="str">
        <f t="shared" si="65"/>
        <v/>
      </c>
      <c r="X58" s="2" t="str">
        <f t="shared" si="66"/>
        <v/>
      </c>
      <c r="AT58" s="63"/>
    </row>
    <row r="59" spans="2:46" ht="21" customHeight="1" x14ac:dyDescent="0.25">
      <c r="B59" s="68" t="str">
        <f t="shared" si="67"/>
        <v/>
      </c>
      <c r="C59" s="34"/>
      <c r="D59" s="36" t="str">
        <f t="shared" si="70"/>
        <v/>
      </c>
      <c r="E59" t="str">
        <f t="shared" si="62"/>
        <v/>
      </c>
      <c r="F59" t="str">
        <f t="shared" si="63"/>
        <v/>
      </c>
      <c r="G59" s="69" t="str">
        <f t="shared" si="68"/>
        <v/>
      </c>
      <c r="H59" s="2" t="str">
        <f>IFERROR(IF(C59="","",IF(E59=INDEX(O:O,MATCH(D59,N:N,0)),"best bid "&amp;IF(LEFT(INDEX(Q:Q,MATCH(D59,N:N,0)),1)-1=0,"","("&amp;LEFT(INDEX(Q:Q,MATCH(D59,N:N,0)),1)-1&amp;" with you)"),INDEX(O:O,MATCH(D59,N:N,0))&amp; " bid")&amp;" / "&amp;IF(F59=INDEX(P:P,MATCH(D59,N:N,0)),"best offer "&amp;IF(LEFT(INDEX(R:R,MATCH(D59,N:N,0)),1)-1=0,"","("&amp;LEFT(INDEX(R:R,MATCH(D59,N:N,0)),1)-1&amp;" with you)"),INDEX(P:P,MATCH(D59,N:N,0))&amp;" offer")),"")</f>
        <v/>
      </c>
      <c r="I59" s="1" t="str">
        <f>IFERROR(IF(C59="","",IF(E59=INDEX(O:O,MATCH(D59,N:N,0)),"",INDEX(O:O,MATCH(D59,N:N,0))&amp; " bid")&amp;IF(F59=INDEX(P:P,MATCH(D59,N:N,0)),"",IF(E59=INDEX(O:O,MATCH(D59,N:N,0)),INDEX(P:P,MATCH(D59,N:N,0))&amp;" offer"," / "&amp;INDEX(P:P,MATCH(D59,N:N,0))&amp;" offer"))),"")</f>
        <v/>
      </c>
      <c r="J59" s="1" t="str">
        <f t="shared" si="73"/>
        <v/>
      </c>
      <c r="K59" s="97" t="str">
        <f t="shared" si="71"/>
        <v/>
      </c>
      <c r="L59" t="str">
        <f>IF(AND(E59=$O11,COUNTIF(E:E,$O11)=1),"Best bid solo","") &amp; " " &amp; IF(AND(F59=$P11,COUNTIF(F:F,$P11)=1),"Best offer solo","")</f>
        <v xml:space="preserve"> </v>
      </c>
      <c r="S59" s="6"/>
      <c r="T59" s="6" t="str">
        <f t="shared" si="74"/>
        <v/>
      </c>
      <c r="V59" s="1" t="str">
        <f t="shared" si="64"/>
        <v/>
      </c>
      <c r="W59" t="str">
        <f t="shared" si="65"/>
        <v/>
      </c>
      <c r="X59" s="2" t="str">
        <f t="shared" si="66"/>
        <v/>
      </c>
      <c r="AT59" s="63"/>
    </row>
    <row r="60" spans="2:46" ht="21" customHeight="1" x14ac:dyDescent="0.25">
      <c r="B60" s="68" t="str">
        <f t="shared" si="67"/>
        <v/>
      </c>
      <c r="C60" s="34"/>
      <c r="D60" s="36" t="str">
        <f t="shared" si="70"/>
        <v/>
      </c>
      <c r="E60" t="str">
        <f t="shared" si="62"/>
        <v/>
      </c>
      <c r="F60" t="str">
        <f t="shared" si="63"/>
        <v/>
      </c>
      <c r="G60" s="69" t="str">
        <f t="shared" si="68"/>
        <v/>
      </c>
      <c r="H60" s="2" t="str">
        <f>IFERROR(IF(C60="","",IF(E60=INDEX(O:O,MATCH(D60,N:N,0)),"best bid "&amp;IF(LEFT(INDEX(Q:Q,MATCH(D60,N:N,0)),1)-1=0,"","("&amp;LEFT(INDEX(Q:Q,MATCH(D60,N:N,0)),1)-1&amp;" with you)"),INDEX(O:O,MATCH(D60,N:N,0))&amp; " bid")&amp;" / "&amp;IF(F60=INDEX(P:P,MATCH(D60,N:N,0)),"best offer "&amp;IF(LEFT(INDEX(R:R,MATCH(D60,N:N,0)),1)-1=0,"","("&amp;LEFT(INDEX(R:R,MATCH(D60,N:N,0)),1)-1&amp;" with you)"),INDEX(P:P,MATCH(D60,N:N,0))&amp;" offer")),"")</f>
        <v/>
      </c>
      <c r="I60" s="1" t="str">
        <f>IFERROR(IF(C60="","",IF(E60=INDEX(O:O,MATCH(D60,N:N,0)),"",INDEX(O:O,MATCH(D60,N:N,0))&amp; " bid")&amp;IF(F60=INDEX(P:P,MATCH(D60,N:N,0)),"",IF(E60=INDEX(O:O,MATCH(D60,N:N,0)),INDEX(P:P,MATCH(D60,N:N,0))&amp;" offer"," / "&amp;INDEX(P:P,MATCH(D60,N:N,0))&amp;" offer"))),"")</f>
        <v/>
      </c>
      <c r="J60" s="1" t="str">
        <f t="shared" si="73"/>
        <v/>
      </c>
      <c r="K60" s="97" t="str">
        <f t="shared" si="71"/>
        <v/>
      </c>
      <c r="L60" t="str">
        <f>IF(AND(E60=$O12,COUNTIF(E:E,$O12)=1),"Best bid solo","") &amp; " " &amp; IF(AND(F60=$P12,COUNTIF(F:F,$P12)=1),"Best offer solo","")</f>
        <v xml:space="preserve"> </v>
      </c>
      <c r="S60" s="6"/>
      <c r="T60" s="6" t="str">
        <f t="shared" si="74"/>
        <v/>
      </c>
      <c r="V60" s="1" t="str">
        <f t="shared" si="64"/>
        <v/>
      </c>
      <c r="W60" t="str">
        <f t="shared" si="65"/>
        <v/>
      </c>
      <c r="X60" s="2" t="str">
        <f t="shared" si="66"/>
        <v/>
      </c>
      <c r="AT60" s="63"/>
    </row>
    <row r="61" spans="2:46" ht="21" customHeight="1" x14ac:dyDescent="0.25">
      <c r="B61" s="68" t="str">
        <f t="shared" si="67"/>
        <v/>
      </c>
      <c r="C61" s="34"/>
      <c r="D61" s="36" t="str">
        <f t="shared" si="70"/>
        <v/>
      </c>
      <c r="E61" t="str">
        <f t="shared" si="62"/>
        <v/>
      </c>
      <c r="F61" t="str">
        <f t="shared" si="63"/>
        <v/>
      </c>
      <c r="G61" s="69" t="str">
        <f t="shared" si="68"/>
        <v/>
      </c>
      <c r="H61" s="2" t="str">
        <f>IFERROR(IF(C61="","",IF(E61=INDEX(O:O,MATCH(D61,N:N,0)),"best bid "&amp;IF(LEFT(INDEX(Q:Q,MATCH(D61,N:N,0)),1)-1=0,"","("&amp;LEFT(INDEX(Q:Q,MATCH(D61,N:N,0)),1)-1&amp;" with you)"),INDEX(O:O,MATCH(D61,N:N,0))&amp; " bid")&amp;" / "&amp;IF(F61=INDEX(P:P,MATCH(D61,N:N,0)),"best offer "&amp;IF(LEFT(INDEX(R:R,MATCH(D61,N:N,0)),1)-1=0,"","("&amp;LEFT(INDEX(R:R,MATCH(D61,N:N,0)),1)-1&amp;" with you)"),INDEX(P:P,MATCH(D61,N:N,0))&amp;" offer")),"")</f>
        <v/>
      </c>
      <c r="I61" s="1" t="str">
        <f>IFERROR(IF(C61="","",IF(E61=INDEX(O:O,MATCH(D61,N:N,0)),"",INDEX(O:O,MATCH(D61,N:N,0))&amp; " bid")&amp;IF(F61=INDEX(P:P,MATCH(D61,N:N,0)),"",IF(E61=INDEX(O:O,MATCH(D61,N:N,0)),INDEX(P:P,MATCH(D61,N:N,0))&amp;" offer"," / "&amp;INDEX(P:P,MATCH(D61,N:N,0))&amp;" offer"))),"")</f>
        <v/>
      </c>
      <c r="J61" s="1" t="str">
        <f t="shared" si="73"/>
        <v/>
      </c>
      <c r="K61" s="97" t="str">
        <f t="shared" si="71"/>
        <v/>
      </c>
      <c r="L61" t="str">
        <f>IF(AND(E61=$O13,COUNTIF(E:E,$O13)=1),"Best bid solo","") &amp; " " &amp; IF(AND(F61=$P13,COUNTIF(F:F,$P13)=1),"Best offer solo","")</f>
        <v xml:space="preserve"> </v>
      </c>
      <c r="S61" s="6"/>
      <c r="T61" s="6" t="str">
        <f t="shared" si="74"/>
        <v/>
      </c>
      <c r="V61" s="1" t="str">
        <f t="shared" si="64"/>
        <v/>
      </c>
      <c r="W61" t="str">
        <f t="shared" si="65"/>
        <v/>
      </c>
      <c r="X61" s="2" t="str">
        <f t="shared" si="66"/>
        <v/>
      </c>
      <c r="AT61" s="63"/>
    </row>
    <row r="62" spans="2:46" ht="21" customHeight="1" x14ac:dyDescent="0.25">
      <c r="B62" s="68" t="str">
        <f t="shared" si="67"/>
        <v/>
      </c>
      <c r="C62" s="34"/>
      <c r="D62" s="36" t="str">
        <f>IF(C62="","",SUBSTITUTE(LEFT(C62,FIND(" ",C62)-1),"-",""))</f>
        <v/>
      </c>
      <c r="E62" t="str">
        <f t="shared" si="62"/>
        <v/>
      </c>
      <c r="F62" t="str">
        <f t="shared" si="63"/>
        <v/>
      </c>
      <c r="G62" s="69" t="str">
        <f t="shared" si="68"/>
        <v/>
      </c>
      <c r="H62" s="5" t="str">
        <f>IFERROR(IF(C62="","",IF(E62=INDEX(O:O,MATCH(D62,N:N,0)),"best bid "&amp;IF(LEFT(INDEX(Q:Q,MATCH(D62,N:N,0)),1)-1=0,"","("&amp;LEFT(INDEX(Q:Q,MATCH(D62,N:N,0)),1)-1&amp;" with you)"),INDEX(O:O,MATCH(D62,N:N,0))&amp; " bid")&amp;" / "&amp;IF(F62=INDEX(P:P,MATCH(D62,N:N,0)),"best offer "&amp;IF(LEFT(INDEX(R:R,MATCH(D62,N:N,0)),1)-1=0,"","("&amp;LEFT(INDEX(R:R,MATCH(D62,N:N,0)),1)-1&amp;" with you)"),INDEX(P:P,MATCH(D62,N:N,0))&amp;" offer")),"")</f>
        <v/>
      </c>
      <c r="I62" s="3" t="str">
        <f>IFERROR(IF(C62="","",IF(E62=INDEX(O:O,MATCH(D62,N:N,0)),"",INDEX(O:O,MATCH(D62,N:N,0))&amp; " bid")&amp;IF(F62=INDEX(P:P,MATCH(D62,N:N,0)),"",IF(E62=INDEX(O:O,MATCH(D62,N:N,0)),INDEX(P:P,MATCH(D62,N:N,0))&amp;" offer"," / "&amp;INDEX(P:P,MATCH(D62,N:N,0))&amp;" offer"))),"")</f>
        <v/>
      </c>
      <c r="J62" s="3" t="str">
        <f>IF(B62="JP",IF(C62="","",IF(I62="",C62,C62&amp;" -&gt; "&amp;I62)),IF(C62="","",IF(H62="",C62,C62&amp;" -&gt; "&amp;H62)))</f>
        <v/>
      </c>
      <c r="K62" s="97" t="str">
        <f t="shared" si="71"/>
        <v/>
      </c>
      <c r="L62" t="str">
        <f>IF(AND(E62=$O14,COUNTIF(E:E,$O14)=1),"Best bid solo","") &amp; " " &amp; IF(AND(F62=$P14,COUNTIF(F:F,$P14)=1),"Best offer solo","")</f>
        <v xml:space="preserve"> </v>
      </c>
      <c r="S62" s="7"/>
      <c r="T62" s="7" t="str">
        <f t="shared" si="69"/>
        <v/>
      </c>
      <c r="AT62" s="63"/>
    </row>
    <row r="63" spans="2:46" ht="21" customHeight="1" x14ac:dyDescent="0.25">
      <c r="B63" s="68" t="str">
        <f t="shared" ref="B63:B65" si="75">IF(C63="","",IF(B62="",IF(B61="","",B61),B62))</f>
        <v/>
      </c>
      <c r="C63" s="34"/>
      <c r="D63" s="36" t="str">
        <f t="shared" ref="D63:D65" si="76">IF(C63="","",SUBSTITUTE(LEFT(C63,FIND(" ",C63)-1),"-",""))</f>
        <v/>
      </c>
      <c r="E63" t="str">
        <f t="shared" ref="E63:E65" si="77">IF(C63="","",IFERROR(IFERROR(VALUE(SUBSTITUTE(MID(C63,FIND(" ",C63),FIND("/",C63)-FIND(" ",C63))," ","")),IF(FIND("B",UPPER(C63)),VALUE(MID(C63,FIND(" ",C63),FIND("B",UPPER(C63))-FIND(" ",C63))),"")),""))</f>
        <v/>
      </c>
      <c r="F63" t="str">
        <f t="shared" ref="F63:F65" si="78">IF(C63="","",IFERROR(IFERROR(VALUE(SUBSTITUTE(RIGHT(C63,LEN(C63)-FIND("/",C63))," ","")),IF(FIND("O",UPPER(C63)),VALUE(MID(C63,FIND(" ",C63),FIND("O",UPPER(C63))-FIND(" ",C63))),"")),""))</f>
        <v/>
      </c>
      <c r="G63" s="69" t="str">
        <f t="shared" ref="G63:G65" si="79">IF(C63="","",IF(G62="",IF(G61="","",G61),G62))</f>
        <v/>
      </c>
      <c r="H63" s="5" t="str">
        <f>IFERROR(IF(C63="","",IF(E63=INDEX(O:O,MATCH(D63,N:N,0)),"best bid "&amp;IF(LEFT(INDEX(Q:Q,MATCH(D63,N:N,0)),1)-1=0,"","("&amp;LEFT(INDEX(Q:Q,MATCH(D63,N:N,0)),1)-1&amp;" with you)"),INDEX(O:O,MATCH(D63,N:N,0))&amp; " bid")&amp;" / "&amp;IF(F63=INDEX(P:P,MATCH(D63,N:N,0)),"best offer "&amp;IF(LEFT(INDEX(R:R,MATCH(D63,N:N,0)),1)-1=0,"","("&amp;LEFT(INDEX(R:R,MATCH(D63,N:N,0)),1)-1&amp;" with you)"),INDEX(P:P,MATCH(D63,N:N,0))&amp;" offer")),"")</f>
        <v/>
      </c>
      <c r="I63" s="3" t="str">
        <f>IFERROR(IF(C63="","",IF(E63=INDEX(O:O,MATCH(D63,N:N,0)),"",INDEX(O:O,MATCH(D63,N:N,0))&amp; " bid")&amp;IF(F63=INDEX(P:P,MATCH(D63,N:N,0)),"",IF(E63=INDEX(O:O,MATCH(D63,N:N,0)),INDEX(P:P,MATCH(D63,N:N,0))&amp;" offer"," / "&amp;INDEX(P:P,MATCH(D63,N:N,0))&amp;" offer"))),"")</f>
        <v/>
      </c>
      <c r="J63" s="3" t="str">
        <f t="shared" ref="J63:J64" si="80">IF(B63="JP",IF(C63="","",IF(I63="",C63,C63&amp;" -&gt; "&amp;I63)),IF(C63="","",IF(H63="",C63,C63&amp;" -&gt; "&amp;H63)))</f>
        <v/>
      </c>
      <c r="K63" s="97" t="str">
        <f t="shared" si="71"/>
        <v/>
      </c>
      <c r="T63" t="str">
        <f>IF(W57&lt;E64,"Better Bid",IF(W57&gt;E64,"Worse bid","")) &amp; " " &amp; IF(X57&gt;F64,"Better offer",IF(X57&lt;F64,"Worse offer",""))</f>
        <v xml:space="preserve"> </v>
      </c>
      <c r="AT63" s="63"/>
    </row>
    <row r="64" spans="2:46" ht="21" customHeight="1" x14ac:dyDescent="0.25">
      <c r="B64" s="68" t="str">
        <f t="shared" si="75"/>
        <v/>
      </c>
      <c r="C64" s="34"/>
      <c r="D64" s="36" t="str">
        <f t="shared" si="76"/>
        <v/>
      </c>
      <c r="E64" t="str">
        <f t="shared" si="77"/>
        <v/>
      </c>
      <c r="F64" t="str">
        <f t="shared" si="78"/>
        <v/>
      </c>
      <c r="G64" s="69" t="str">
        <f t="shared" si="79"/>
        <v/>
      </c>
      <c r="H64" s="5" t="str">
        <f>IFERROR(IF(C64="","",IF(E64=INDEX(O:O,MATCH(D64,N:N,0)),"best bid "&amp;IF(LEFT(INDEX(Q:Q,MATCH(D64,N:N,0)),1)-1=0,"","("&amp;LEFT(INDEX(Q:Q,MATCH(D64,N:N,0)),1)-1&amp;" with you)"),INDEX(O:O,MATCH(D64,N:N,0))&amp; " bid")&amp;" / "&amp;IF(F64=INDEX(P:P,MATCH(D64,N:N,0)),"best offer "&amp;IF(LEFT(INDEX(R:R,MATCH(D64,N:N,0)),1)-1=0,"","("&amp;LEFT(INDEX(R:R,MATCH(D64,N:N,0)),1)-1&amp;" with you)"),INDEX(P:P,MATCH(D64,N:N,0))&amp;" offer")),"")</f>
        <v/>
      </c>
      <c r="I64" s="3" t="str">
        <f>IFERROR(IF(C64="","",IF(E64=INDEX(O:O,MATCH(D64,N:N,0)),"",INDEX(O:O,MATCH(D64,N:N,0))&amp; " bid")&amp;IF(F64=INDEX(P:P,MATCH(D64,N:N,0)),"",IF(E64=INDEX(O:O,MATCH(D64,N:N,0)),INDEX(P:P,MATCH(D64,N:N,0))&amp;" offer"," / "&amp;INDEX(P:P,MATCH(D64,N:N,0))&amp;" offer"))),"")</f>
        <v/>
      </c>
      <c r="J64" s="3" t="str">
        <f t="shared" si="80"/>
        <v/>
      </c>
      <c r="K64" s="97" t="str">
        <f t="shared" si="71"/>
        <v/>
      </c>
      <c r="T64" t="str">
        <f>IF(W58&lt;E65,"Better Bid",IF(W58&gt;E65,"Worse bid","")) &amp; " " &amp; IF(X58&gt;F65,"Better offer",IF(X58&lt;F65,"Worse offer",""))</f>
        <v xml:space="preserve"> </v>
      </c>
      <c r="AT64" s="63"/>
    </row>
    <row r="65" spans="2:46" ht="21" customHeight="1" thickBot="1" x14ac:dyDescent="0.3">
      <c r="B65" s="70" t="str">
        <f t="shared" si="75"/>
        <v/>
      </c>
      <c r="C65" s="124"/>
      <c r="D65" s="125" t="str">
        <f t="shared" si="76"/>
        <v/>
      </c>
      <c r="E65" s="71" t="str">
        <f t="shared" si="77"/>
        <v/>
      </c>
      <c r="F65" s="71" t="str">
        <f t="shared" si="78"/>
        <v/>
      </c>
      <c r="G65" s="72" t="str">
        <f t="shared" si="79"/>
        <v/>
      </c>
      <c r="I65" t="str">
        <f>IFERROR(IF(C64="","",IF(E65=INDEX(O:O,MATCH(D65,N:N,0)),"you are best bid "&amp;IF(INDEX(Q:Q,MATCH(D65,N:N,0))-1=0,"","("&amp;INDEX(Q:Q,MATCH(D65,N:N,0))-1&amp;" with you)"),INDEX(O:O,MATCH(D65,N:N,0))&amp; " bid")&amp;" / "&amp;IF(F65=INDEX(P:P,MATCH(D65,N:N,0)),"you are best offer "&amp;IF(INDEX(R:R,MATCH(D65,N:N,0))-1=0,"","("&amp;INDEX(R:R,MATCH(D65,N:N,0))-1&amp;" with you)"),INDEX(P:P,MATCH(D65,N:N,0))&amp;" offer")),"")</f>
        <v/>
      </c>
      <c r="J65" t="str">
        <f>IFERROR(IF(I65="","",D65&amp;" "&amp;INDEX(O:O,MATCH(D65,N:N,0))&amp;" / "&amp;INDEX(P:P,MATCH(D65,N:N,0))&amp;" : "&amp;I65),C64)</f>
        <v/>
      </c>
      <c r="K65" s="104" t="str">
        <f t="shared" ref="K65" si="81">IF(B65&lt;&gt;"JP",IF(C66="","",IF(I65="",C66,C66&amp;" -&gt; "&amp;I65)),IF(C66="","",IF(H65="",C66,C66&amp;" -&gt; "&amp;H65)))</f>
        <v/>
      </c>
      <c r="AT65" s="63"/>
    </row>
    <row r="66" spans="2:46" ht="21" customHeight="1" thickBot="1" x14ac:dyDescent="0.3">
      <c r="AT66" s="63"/>
    </row>
    <row r="67" spans="2:46" ht="21" customHeight="1" x14ac:dyDescent="0.25">
      <c r="D67" s="37" t="str">
        <f>IF(C67="","",SUBSTITUTE(LEFT(C67,FIND(" ",C67)-1),"-",""))</f>
        <v/>
      </c>
      <c r="E67" s="37"/>
      <c r="F67" s="37"/>
      <c r="G67" s="37"/>
      <c r="H67" s="37"/>
      <c r="I67" s="38"/>
      <c r="J67" s="129" t="s">
        <v>159</v>
      </c>
      <c r="K67" s="157" t="str">
        <f>J67</f>
        <v>Your feedback Nathaniel</v>
      </c>
      <c r="S67" s="55"/>
      <c r="T67" s="56" t="s">
        <v>36</v>
      </c>
      <c r="AT67" s="63"/>
    </row>
    <row r="68" spans="2:46" ht="21" customHeight="1" x14ac:dyDescent="0.25">
      <c r="B68" s="32" t="s">
        <v>37</v>
      </c>
      <c r="C68" s="106" t="s">
        <v>166</v>
      </c>
      <c r="D68" s="40" t="str">
        <f>IF(C68="","",SUBSTITUTE(LEFT(C68,FIND(" ",C68)-1),"-",""))</f>
        <v>SX5E</v>
      </c>
      <c r="E68" s="40" t="str">
        <f t="shared" ref="E68:E74" si="82">IF(C68="","",IFERROR(IFERROR(VALUE(SUBSTITUTE(MID(C68,FIND(" ",C68),FIND("/",C68)-FIND(" ",C68))," ","")),IF(FIND("B",UPPER(C68)),VALUE(MID(C68,FIND(" ",C68),FIND("B",UPPER(C68))-FIND(" ",C68))),"")),""))</f>
        <v/>
      </c>
      <c r="F68" s="40" t="str">
        <f t="shared" ref="F68:F74" si="83">IF(C68="","",IFERROR(IFERROR(VALUE(SUBSTITUTE(RIGHT(C68,LEN(C68)-FIND("/",C68))," ","")),IF(FIND("O",UPPER(C68)),VALUE(MID(C68,FIND(" ",C68),FIND("O",UPPER(C68))-FIND(" ",C68))),"")),""))</f>
        <v/>
      </c>
      <c r="G68" s="41">
        <f>IF(C68="","",VALUE(SUBSTITUTE(SUBSTITUTE(SUBSTITUTE(SUBSTITUTE(SUBSTITUTE(RIGHT(C68,LEN(C68)-FIND("vs",C68)+1),"basis",""),"vs.","")," ",""),":",""),"vs","")))</f>
        <v>6.125</v>
      </c>
      <c r="H68" s="42" t="s">
        <v>13</v>
      </c>
      <c r="I68" s="43" t="s">
        <v>14</v>
      </c>
      <c r="J68" s="1"/>
      <c r="K68" s="97" t="str">
        <f>C68</f>
        <v>SX5E TRF vs. 6.125</v>
      </c>
      <c r="S68" s="6" t="s">
        <v>112</v>
      </c>
      <c r="T68" s="6" t="str">
        <f>IF(W60&lt;E68,"Better Bid",IF(W60&gt;E68,"Worse bid","")) &amp; " " &amp; IF(X60&gt;F68,"Better offer",IF(X60&lt;F68,"Worse offer",""))</f>
        <v xml:space="preserve"> </v>
      </c>
      <c r="V68" s="44" t="str">
        <f t="shared" ref="V68:V78" si="84">IF(S68="","",SUBSTITUTE(LEFT(S68,FIND(" ",S68)-1),"-",""))</f>
        <v>SX5E</v>
      </c>
      <c r="W68" s="12" t="str">
        <f t="shared" ref="W68:W78" si="85">IF(S68="","",IFERROR(IFERROR(VALUE(SUBSTITUTE(MID(S68,FIND(" ",S68),FIND("/",S68)-FIND(" ",S68))," ","")),IF(FIND("B",UPPER(S68)),VALUE(MID(S68,FIND(" ",S68),FIND("B",UPPER(S68))-FIND(" ",S68))),"")),""))</f>
        <v/>
      </c>
      <c r="X68" s="14" t="str">
        <f t="shared" ref="X68:X78" si="86">IF(S68="","",IFERROR(IFERROR(VALUE(SUBSTITUTE(RIGHT(S68,LEN(S68)-FIND("/",S68))," ","")),IF(FIND("O",UPPER(S68)),VALUE(MID(S68,FIND(" ",S68),FIND("O",UPPER(S68))-FIND(" ",S68))),"")),""))</f>
        <v/>
      </c>
      <c r="AT68" s="63"/>
    </row>
    <row r="69" spans="2:46" ht="21" customHeight="1" x14ac:dyDescent="0.25">
      <c r="B69" t="str">
        <f t="shared" ref="B69:B74" si="87">IF(C69="","",IF(B68="",IF(B67="","",B67),B68))</f>
        <v>Barc</v>
      </c>
      <c r="C69" s="34" t="s">
        <v>128</v>
      </c>
      <c r="D69" s="36" t="str">
        <f t="shared" ref="D69" si="88">IF(C69="","",SUBSTITUTE(SUBSTITUTE(LEFT(C69,FIND(" ",C69)-1),"-",""),":",""))</f>
        <v>Dec23</v>
      </c>
      <c r="E69">
        <f t="shared" ref="E69" si="89">IF(C69="","",IFERROR(IFERROR(VALUE(SUBSTITUTE(MID(C69,FIND(" ",C69),FIND("/",C69)-FIND(" ",C69))," ","")),IF(FIND("B",UPPER(C69)),VALUE(MID(C69,FIND(" ",C69),FIND("B",UPPER(C69))-FIND(" ",C69))),"")),""))</f>
        <v>16</v>
      </c>
      <c r="F69">
        <f t="shared" ref="F69" si="90">IF(C69="","",IFERROR(IFERROR(VALUE(SUBSTITUTE(RIGHT(C69,LEN(C69)-FIND("/",C69))," ","")),IF(FIND("O",UPPER(C69)),VALUE(MID(C69,FIND(" ",C69),FIND("O",UPPER(C69))-FIND(" ",C69))),"")),""))</f>
        <v>18</v>
      </c>
      <c r="G69" s="2">
        <f t="shared" ref="G69" si="91">IF(C69="","",IF(G68="",IF(G67="","",G67),G68))</f>
        <v>6.125</v>
      </c>
      <c r="H69" s="6" t="str">
        <f>IFERROR(IF(C69="","",IF(E69=INDEX(O:O,MATCH(D69,N:N,0)),"best bid "&amp;IF(LEFT(INDEX(Q:Q,MATCH(D69,N:N,0)),1)-1=0,"","("&amp;LEFT(INDEX(Q:Q,MATCH(D69,N:N,0)),1)-1&amp;" with you)"),INDEX(O:O,MATCH(D69,N:N,0))&amp; " bid")&amp;" / "&amp;IF(F69=INDEX(P:P,MATCH(D69,N:N,0)),"best offer "&amp;IF(LEFT(INDEX(R:R,MATCH(D69,N:N,0)),1)-1=0,"","("&amp;LEFT(INDEX(R:R,MATCH(D69,N:N,0)),1)-1&amp;" with you)"),INDEX(P:P,MATCH(D69,N:N,0))&amp;" offer")),"")</f>
        <v xml:space="preserve">best bid  / best offer </v>
      </c>
      <c r="I69" s="1" t="str">
        <f>IFERROR(IF(C69="","",IF(E69=INDEX(O:O,MATCH(D69,N:N,0)),"",INDEX(O:O,MATCH(D69,N:N,0))&amp; " bid")&amp;IF(F69=INDEX(P:P,MATCH(D69,N:N,0)),"",IF(E69=INDEX(O:O,MATCH(D69,N:N,0)),INDEX(P:P,MATCH(D69,N:N,0))&amp;" offer"," / "&amp;INDEX(P:P,MATCH(D69,N:N,0))&amp;" offer"))),"")</f>
        <v/>
      </c>
      <c r="J69" s="1"/>
      <c r="K69" s="97" t="str">
        <f>IF(C69="","",IF(I69="",C69,C69&amp;" -&gt; "&amp;I69))</f>
        <v>Dec-23: 16 / 18</v>
      </c>
      <c r="S69" s="6" t="s">
        <v>113</v>
      </c>
      <c r="T69" s="6" t="str">
        <f t="shared" ref="T69" si="92">IF(W61&lt;E69, "Better Bid | ",IF(W61&gt;E69,"Worse bid | ","")) &amp; IF(X61&gt;F69,"Better offer",IF(X61&lt;F69,"Worse offer",""))</f>
        <v>Worse bid | Better offer</v>
      </c>
      <c r="V69" s="1" t="str">
        <f t="shared" si="84"/>
        <v>Dec23:</v>
      </c>
      <c r="W69">
        <f t="shared" si="85"/>
        <v>13.5</v>
      </c>
      <c r="X69" s="2">
        <f t="shared" si="86"/>
        <v>16.5</v>
      </c>
      <c r="AT69" s="63"/>
    </row>
    <row r="70" spans="2:46" ht="21" customHeight="1" x14ac:dyDescent="0.25">
      <c r="B70" t="str">
        <f t="shared" si="87"/>
        <v>Barc</v>
      </c>
      <c r="C70" s="34" t="s">
        <v>160</v>
      </c>
      <c r="D70" s="36" t="str">
        <f t="shared" ref="D70:D74" si="93">IF(C70="","",SUBSTITUTE(SUBSTITUTE(LEFT(C70,FIND(" ",C70)-1),"-",""),":",""))</f>
        <v>Dec24</v>
      </c>
      <c r="E70">
        <f t="shared" si="82"/>
        <v>21</v>
      </c>
      <c r="F70">
        <f t="shared" si="83"/>
        <v>23</v>
      </c>
      <c r="G70" s="2">
        <f t="shared" ref="G70:G74" si="94">IF(C70="","",IF(G69="",IF(G68="","",G68),G69))</f>
        <v>6.125</v>
      </c>
      <c r="H70" s="6" t="str">
        <f>IFERROR(IF(C70="","",IF(E70=INDEX(O:O,MATCH(D70,N:N,0)),"best bid "&amp;IF(LEFT(INDEX(Q:Q,MATCH(D70,N:N,0)),1)-1=0,"","("&amp;LEFT(INDEX(Q:Q,MATCH(D70,N:N,0)),1)-1&amp;" with you)"),INDEX(O:O,MATCH(D70,N:N,0))&amp; " bid")&amp;" / "&amp;IF(F70=INDEX(P:P,MATCH(D70,N:N,0)),"best offer "&amp;IF(LEFT(INDEX(R:R,MATCH(D70,N:N,0)),1)-1=0,"","("&amp;LEFT(INDEX(R:R,MATCH(D70,N:N,0)),1)-1&amp;" with you)"),INDEX(P:P,MATCH(D70,N:N,0))&amp;" offer")),"")</f>
        <v xml:space="preserve">best bid  / best offer </v>
      </c>
      <c r="I70" s="1" t="str">
        <f>IFERROR(IF(C70="","",IF(E70=INDEX(O:O,MATCH(D70,N:N,0)),"",INDEX(O:O,MATCH(D70,N:N,0))&amp; " bid")&amp;IF(F70=INDEX(P:P,MATCH(D70,N:N,0)),"",IF(E70=INDEX(O:O,MATCH(D70,N:N,0)),INDEX(P:P,MATCH(D70,N:N,0))&amp;" offer"," / "&amp;INDEX(P:P,MATCH(D70,N:N,0))&amp;" offer"))),"")</f>
        <v/>
      </c>
      <c r="J70" s="1"/>
      <c r="K70" s="97" t="str">
        <f>IF(C70="","",IF(I70="",C70,C70&amp;" -&gt; "&amp;I70))</f>
        <v>Dec-24: 21 / 23</v>
      </c>
      <c r="S70" s="6" t="s">
        <v>114</v>
      </c>
      <c r="T70" s="6" t="str">
        <f t="shared" ref="T70:T77" si="95">IF(W70&lt;E70, "Better Bid | ",IF(W70&gt;E70,"Worse bid | ","")) &amp; IF(X70&gt;F70,"Better offer",IF(X70&lt;F70,"Worse offer",""))</f>
        <v>Better offer</v>
      </c>
      <c r="V70" s="1" t="str">
        <f t="shared" si="84"/>
        <v>Dec24:</v>
      </c>
      <c r="W70">
        <f t="shared" si="85"/>
        <v>21</v>
      </c>
      <c r="X70" s="2">
        <f t="shared" si="86"/>
        <v>23.5</v>
      </c>
      <c r="AT70" s="63"/>
    </row>
    <row r="71" spans="2:46" ht="21" customHeight="1" x14ac:dyDescent="0.25">
      <c r="B71" t="str">
        <f t="shared" si="87"/>
        <v>Barc</v>
      </c>
      <c r="C71" s="34" t="s">
        <v>167</v>
      </c>
      <c r="D71" s="36" t="str">
        <f t="shared" si="93"/>
        <v>Dec25</v>
      </c>
      <c r="E71">
        <f t="shared" si="82"/>
        <v>26.5</v>
      </c>
      <c r="F71">
        <f t="shared" si="83"/>
        <v>28.5</v>
      </c>
      <c r="G71" s="2">
        <f t="shared" si="94"/>
        <v>6.125</v>
      </c>
      <c r="H71" s="6" t="str">
        <f>IFERROR(IF(C71="","",IF(E71=INDEX(O:O,MATCH(D71,N:N,0)),"best bid "&amp;IF(LEFT(INDEX(Q:Q,MATCH(D71,N:N,0)),1)-1=0,"","("&amp;LEFT(INDEX(Q:Q,MATCH(D71,N:N,0)),1)-1&amp;" with you)"),INDEX(O:O,MATCH(D71,N:N,0))&amp; " bid")&amp;" / "&amp;IF(F71=INDEX(P:P,MATCH(D71,N:N,0)),"best offer "&amp;IF(LEFT(INDEX(R:R,MATCH(D71,N:N,0)),1)-1=0,"","("&amp;LEFT(INDEX(R:R,MATCH(D71,N:N,0)),1)-1&amp;" with you)"),INDEX(P:P,MATCH(D71,N:N,0))&amp;" offer")),"")</f>
        <v xml:space="preserve">best bid  / best offer </v>
      </c>
      <c r="I71" s="1" t="str">
        <f>IFERROR(IF(C71="","",IF(E71=INDEX(O:O,MATCH(D71,N:N,0)),"",INDEX(O:O,MATCH(D71,N:N,0))&amp; " bid")&amp;IF(F71=INDEX(P:P,MATCH(D71,N:N,0)),"",IF(E71=INDEX(O:O,MATCH(D71,N:N,0)),INDEX(P:P,MATCH(D71,N:N,0))&amp;" offer"," / "&amp;INDEX(P:P,MATCH(D71,N:N,0))&amp;" offer"))),"")</f>
        <v/>
      </c>
      <c r="J71" s="1"/>
      <c r="K71" s="97" t="str">
        <f t="shared" ref="K71:K74" si="96">IF(C71="","",IF(I71="",C71,C71&amp;" -&gt; "&amp;I71))</f>
        <v>Dec-25: 26.5 / 28.5</v>
      </c>
      <c r="S71" s="6" t="s">
        <v>115</v>
      </c>
      <c r="T71" s="6" t="str">
        <f t="shared" si="95"/>
        <v>Worse bid | Better offer</v>
      </c>
      <c r="V71" s="1" t="str">
        <f t="shared" si="84"/>
        <v>Dec25:</v>
      </c>
      <c r="W71">
        <f t="shared" si="85"/>
        <v>29</v>
      </c>
      <c r="X71" s="2">
        <f t="shared" si="86"/>
        <v>31</v>
      </c>
      <c r="AT71" s="63"/>
    </row>
    <row r="72" spans="2:46" ht="21" customHeight="1" x14ac:dyDescent="0.25">
      <c r="B72" t="str">
        <f t="shared" si="87"/>
        <v>Barc</v>
      </c>
      <c r="C72" s="34" t="s">
        <v>168</v>
      </c>
      <c r="D72" s="36" t="str">
        <f t="shared" si="93"/>
        <v>Dec26</v>
      </c>
      <c r="E72">
        <f t="shared" si="82"/>
        <v>33</v>
      </c>
      <c r="F72">
        <f t="shared" si="83"/>
        <v>35</v>
      </c>
      <c r="G72" s="2">
        <f t="shared" si="94"/>
        <v>6.125</v>
      </c>
      <c r="H72" s="6" t="str">
        <f>IFERROR(IF(C72="","",IF(E72=INDEX(O:O,MATCH(D72,N:N,0)),"best bid "&amp;IF(LEFT(INDEX(Q:Q,MATCH(D72,N:N,0)),1)-1=0,"","("&amp;LEFT(INDEX(Q:Q,MATCH(D72,N:N,0)),1)-1&amp;" with you)"),INDEX(O:O,MATCH(D72,N:N,0))&amp; " bid")&amp;" / "&amp;IF(F72=INDEX(P:P,MATCH(D72,N:N,0)),"best offer "&amp;IF(LEFT(INDEX(R:R,MATCH(D72,N:N,0)),1)-1=0,"","("&amp;LEFT(INDEX(R:R,MATCH(D72,N:N,0)),1)-1&amp;" with you)"),INDEX(P:P,MATCH(D72,N:N,0))&amp;" offer")),"")</f>
        <v xml:space="preserve">best bid  / best offer </v>
      </c>
      <c r="I72" s="1" t="str">
        <f>IFERROR(IF(C72="","",IF(E72=INDEX(O:O,MATCH(D72,N:N,0)),"",INDEX(O:O,MATCH(D72,N:N,0))&amp; " bid")&amp;IF(F72=INDEX(P:P,MATCH(D72,N:N,0)),"",IF(E72=INDEX(O:O,MATCH(D72,N:N,0)),INDEX(P:P,MATCH(D72,N:N,0))&amp;" offer"," / "&amp;INDEX(P:P,MATCH(D72,N:N,0))&amp;" offer"))),"")</f>
        <v/>
      </c>
      <c r="J72" s="1"/>
      <c r="K72" s="97" t="str">
        <f t="shared" si="96"/>
        <v>Dec-26: 33 / 35</v>
      </c>
      <c r="S72" s="6"/>
      <c r="T72" s="6" t="str">
        <f t="shared" si="95"/>
        <v>Worse bid | Better offer</v>
      </c>
      <c r="V72" s="1" t="str">
        <f t="shared" si="84"/>
        <v/>
      </c>
      <c r="W72" t="str">
        <f t="shared" si="85"/>
        <v/>
      </c>
      <c r="X72" s="2" t="str">
        <f t="shared" si="86"/>
        <v/>
      </c>
    </row>
    <row r="73" spans="2:46" ht="21" customHeight="1" x14ac:dyDescent="0.25">
      <c r="B73" t="str">
        <f t="shared" si="87"/>
        <v>Barc</v>
      </c>
      <c r="C73" s="34" t="s">
        <v>169</v>
      </c>
      <c r="D73" s="36" t="str">
        <f t="shared" si="93"/>
        <v>Dec27</v>
      </c>
      <c r="E73">
        <f t="shared" si="82"/>
        <v>39.5</v>
      </c>
      <c r="F73">
        <f t="shared" si="83"/>
        <v>41.5</v>
      </c>
      <c r="G73" s="2">
        <f t="shared" si="94"/>
        <v>6.125</v>
      </c>
      <c r="H73" s="6" t="str">
        <f>IFERROR(IF(C73="","",IF(E73=INDEX(O:O,MATCH(D73,N:N,0)),"best bid "&amp;IF(LEFT(INDEX(Q:Q,MATCH(D73,N:N,0)),1)-1=0,"","("&amp;LEFT(INDEX(Q:Q,MATCH(D73,N:N,0)),1)-1&amp;" with you)"),INDEX(O:O,MATCH(D73,N:N,0))&amp; " bid")&amp;" / "&amp;IF(F73=INDEX(P:P,MATCH(D73,N:N,0)),"best offer "&amp;IF(LEFT(INDEX(R:R,MATCH(D73,N:N,0)),1)-1=0,"","("&amp;LEFT(INDEX(R:R,MATCH(D73,N:N,0)),1)-1&amp;" with you)"),INDEX(P:P,MATCH(D73,N:N,0))&amp;" offer")),"")</f>
        <v xml:space="preserve">best bid  / best offer </v>
      </c>
      <c r="I73" s="1" t="str">
        <f>IFERROR(IF(C73="","",IF(E73=INDEX(O:O,MATCH(D73,N:N,0)),"",INDEX(O:O,MATCH(D73,N:N,0))&amp; " bid")&amp;IF(F73=INDEX(P:P,MATCH(D73,N:N,0)),"",IF(E73=INDEX(O:O,MATCH(D73,N:N,0)),INDEX(P:P,MATCH(D73,N:N,0))&amp;" offer"," / "&amp;INDEX(P:P,MATCH(D73,N:N,0))&amp;" offer"))),"")</f>
        <v/>
      </c>
      <c r="J73" s="1"/>
      <c r="K73" s="97" t="str">
        <f t="shared" si="96"/>
        <v>Dec-27: 39.5 / 41.5</v>
      </c>
      <c r="S73" s="6"/>
      <c r="T73" s="6" t="str">
        <f t="shared" si="95"/>
        <v>Worse bid | Better offer</v>
      </c>
      <c r="V73" s="1" t="str">
        <f t="shared" si="84"/>
        <v/>
      </c>
      <c r="W73" t="str">
        <f t="shared" si="85"/>
        <v/>
      </c>
      <c r="X73" s="2" t="str">
        <f t="shared" si="86"/>
        <v/>
      </c>
    </row>
    <row r="74" spans="2:46" ht="21" customHeight="1" x14ac:dyDescent="0.25">
      <c r="B74" t="str">
        <f t="shared" si="87"/>
        <v>Barc</v>
      </c>
      <c r="C74" s="34" t="s">
        <v>170</v>
      </c>
      <c r="D74" s="36" t="str">
        <f t="shared" si="93"/>
        <v>Dec28</v>
      </c>
      <c r="E74">
        <f t="shared" si="82"/>
        <v>46.5</v>
      </c>
      <c r="F74">
        <f t="shared" si="83"/>
        <v>48.5</v>
      </c>
      <c r="G74" s="2">
        <f t="shared" si="94"/>
        <v>6.125</v>
      </c>
      <c r="H74" s="6" t="str">
        <f>IFERROR(IF(C74="","",IF(E74=INDEX(O:O,MATCH(D74,N:N,0)),"best bid "&amp;IF(LEFT(INDEX(Q:Q,MATCH(D74,N:N,0)),1)-1=0,"","("&amp;LEFT(INDEX(Q:Q,MATCH(D74,N:N,0)),1)-1&amp;" with you)"),INDEX(O:O,MATCH(D74,N:N,0))&amp; " bid")&amp;" / "&amp;IF(F74=INDEX(P:P,MATCH(D74,N:N,0)),"best offer "&amp;IF(LEFT(INDEX(R:R,MATCH(D74,N:N,0)),1)-1=0,"","("&amp;LEFT(INDEX(R:R,MATCH(D74,N:N,0)),1)-1&amp;" with you)"),INDEX(P:P,MATCH(D74,N:N,0))&amp;" offer")),"")</f>
        <v xml:space="preserve">best bid  / best offer </v>
      </c>
      <c r="I74" s="1" t="str">
        <f>IFERROR(IF(C74="","",IF(E74=INDEX(O:O,MATCH(D74,N:N,0)),"",INDEX(O:O,MATCH(D74,N:N,0))&amp; " bid")&amp;IF(F74=INDEX(P:P,MATCH(D74,N:N,0)),"",IF(E74=INDEX(O:O,MATCH(D74,N:N,0)),INDEX(P:P,MATCH(D74,N:N,0))&amp;" offer"," / "&amp;INDEX(P:P,MATCH(D74,N:N,0))&amp;" offer"))),"")</f>
        <v/>
      </c>
      <c r="J74" s="1"/>
      <c r="K74" s="97" t="str">
        <f t="shared" si="96"/>
        <v>Dec-28: 46.5 / 48.5</v>
      </c>
      <c r="S74" s="6"/>
      <c r="T74" s="6" t="str">
        <f t="shared" si="95"/>
        <v>Worse bid | Better offer</v>
      </c>
      <c r="V74" s="1" t="str">
        <f t="shared" si="84"/>
        <v/>
      </c>
      <c r="W74" t="str">
        <f t="shared" si="85"/>
        <v/>
      </c>
      <c r="X74" s="2" t="str">
        <f t="shared" si="86"/>
        <v/>
      </c>
    </row>
    <row r="75" spans="2:46" ht="21" customHeight="1" x14ac:dyDescent="0.25">
      <c r="B75" t="str">
        <f t="shared" ref="B75:B82" si="97">IF(C75="","",IF(B74="",IF(B73="","",B73),B74))</f>
        <v>Barc</v>
      </c>
      <c r="C75" s="34" t="s">
        <v>171</v>
      </c>
      <c r="D75" s="36" t="str">
        <f t="shared" ref="D75:D82" si="98">IF(C75="","",SUBSTITUTE(SUBSTITUTE(LEFT(C75,FIND(" ",C75)-1),"-",""),":",""))</f>
        <v>Dec29</v>
      </c>
      <c r="E75">
        <f t="shared" ref="E75:E82" si="99">IF(C75="","",IFERROR(IFERROR(VALUE(SUBSTITUTE(MID(C75,FIND(" ",C75),FIND("/",C75)-FIND(" ",C75))," ","")),IF(FIND("B",UPPER(C75)),VALUE(MID(C75,FIND(" ",C75),FIND("B",UPPER(C75))-FIND(" ",C75))),"")),""))</f>
        <v>53.5</v>
      </c>
      <c r="F75">
        <f t="shared" ref="F75:F82" si="100">IF(C75="","",IFERROR(IFERROR(VALUE(SUBSTITUTE(RIGHT(C75,LEN(C75)-FIND("/",C75))," ","")),IF(FIND("O",UPPER(C75)),VALUE(MID(C75,FIND(" ",C75),FIND("O",UPPER(C75))-FIND(" ",C75))),"")),""))</f>
        <v>56.5</v>
      </c>
      <c r="G75" s="2">
        <f t="shared" ref="G75:G82" si="101">IF(C75="","",IF(G74="",IF(G73="","",G73),G74))</f>
        <v>6.125</v>
      </c>
      <c r="H75" s="6" t="str">
        <f>IFERROR(IF(C75="","",IF(E75=INDEX(O:O,MATCH(D75,N:N,0)),"best bid "&amp;IF(LEFT(INDEX(Q:Q,MATCH(D75,N:N,0)),1)-1=0,"","("&amp;LEFT(INDEX(Q:Q,MATCH(D75,N:N,0)),1)-1&amp;" with you)"),INDEX(O:O,MATCH(D75,N:N,0))&amp; " bid")&amp;" / "&amp;IF(F75=INDEX(P:P,MATCH(D75,N:N,0)),"best offer "&amp;IF(LEFT(INDEX(R:R,MATCH(D75,N:N,0)),1)-1=0,"","("&amp;LEFT(INDEX(R:R,MATCH(D75,N:N,0)),1)-1&amp;" with you)"),INDEX(P:P,MATCH(D75,N:N,0))&amp;" offer")),"")</f>
        <v xml:space="preserve">best bid  / best offer </v>
      </c>
      <c r="I75" s="1" t="str">
        <f>IFERROR(IF(C75="","",IF(E75=INDEX(O:O,MATCH(D75,N:N,0)),"",INDEX(O:O,MATCH(D75,N:N,0))&amp; " bid")&amp;IF(F75=INDEX(P:P,MATCH(D75,N:N,0)),"",IF(E75=INDEX(O:O,MATCH(D75,N:N,0)),INDEX(P:P,MATCH(D75,N:N,0))&amp;" offer"," / "&amp;INDEX(P:P,MATCH(D75,N:N,0))&amp;" offer"))),"")</f>
        <v/>
      </c>
      <c r="J75" s="1"/>
      <c r="K75" s="97" t="str">
        <f t="shared" ref="K75:K82" si="102">IF(C75="","",IF(I75="",C75,C75&amp;" -&gt; "&amp;I75))</f>
        <v>Dec-29: 53.5 / 56.5</v>
      </c>
      <c r="S75" s="6"/>
      <c r="T75" s="6" t="str">
        <f t="shared" si="95"/>
        <v>Worse bid | Better offer</v>
      </c>
      <c r="V75" s="1" t="str">
        <f t="shared" si="84"/>
        <v/>
      </c>
      <c r="W75" t="str">
        <f t="shared" si="85"/>
        <v/>
      </c>
      <c r="X75" s="2" t="str">
        <f t="shared" si="86"/>
        <v/>
      </c>
    </row>
    <row r="76" spans="2:46" ht="21" customHeight="1" x14ac:dyDescent="0.25">
      <c r="B76" t="str">
        <f t="shared" si="97"/>
        <v>Barc</v>
      </c>
      <c r="C76" s="34" t="s">
        <v>165</v>
      </c>
      <c r="D76" s="36" t="str">
        <f t="shared" si="98"/>
        <v>Dec30</v>
      </c>
      <c r="E76">
        <f t="shared" si="99"/>
        <v>60</v>
      </c>
      <c r="F76">
        <f t="shared" si="100"/>
        <v>64</v>
      </c>
      <c r="G76" s="2">
        <f t="shared" si="101"/>
        <v>6.125</v>
      </c>
      <c r="H76" s="6" t="str">
        <f>IFERROR(IF(C76="","",IF(E76=INDEX(O:O,MATCH(D76,N:N,0)),"best bid "&amp;IF(LEFT(INDEX(Q:Q,MATCH(D76,N:N,0)),1)-1=0,"","("&amp;LEFT(INDEX(Q:Q,MATCH(D76,N:N,0)),1)-1&amp;" with you)"),INDEX(O:O,MATCH(D76,N:N,0))&amp; " bid")&amp;" / "&amp;IF(F76=INDEX(P:P,MATCH(D76,N:N,0)),"best offer "&amp;IF(LEFT(INDEX(R:R,MATCH(D76,N:N,0)),1)-1=0,"","("&amp;LEFT(INDEX(R:R,MATCH(D76,N:N,0)),1)-1&amp;" with you)"),INDEX(P:P,MATCH(D76,N:N,0))&amp;" offer")),"")</f>
        <v xml:space="preserve">best bid  / best offer </v>
      </c>
      <c r="I76" s="1" t="str">
        <f>IFERROR(IF(C76="","",IF(E76=INDEX(O:O,MATCH(D76,N:N,0)),"",INDEX(O:O,MATCH(D76,N:N,0))&amp; " bid")&amp;IF(F76=INDEX(P:P,MATCH(D76,N:N,0)),"",IF(E76=INDEX(O:O,MATCH(D76,N:N,0)),INDEX(P:P,MATCH(D76,N:N,0))&amp;" offer"," / "&amp;INDEX(P:P,MATCH(D76,N:N,0))&amp;" offer"))),"")</f>
        <v/>
      </c>
      <c r="J76" s="1"/>
      <c r="K76" s="97" t="str">
        <f t="shared" si="102"/>
        <v>Dec-30: 60 / 64</v>
      </c>
      <c r="S76" s="6"/>
      <c r="T76" s="6" t="str">
        <f t="shared" si="95"/>
        <v>Worse bid | Better offer</v>
      </c>
      <c r="V76" s="1" t="str">
        <f t="shared" si="84"/>
        <v/>
      </c>
      <c r="W76" t="str">
        <f t="shared" si="85"/>
        <v/>
      </c>
      <c r="X76" s="2" t="str">
        <f t="shared" si="86"/>
        <v/>
      </c>
    </row>
    <row r="77" spans="2:46" ht="21" customHeight="1" x14ac:dyDescent="0.25">
      <c r="B77" t="str">
        <f t="shared" si="97"/>
        <v>Barc</v>
      </c>
      <c r="C77" s="34" t="s">
        <v>172</v>
      </c>
      <c r="D77" s="36" t="str">
        <f t="shared" si="98"/>
        <v>Dec31</v>
      </c>
      <c r="E77">
        <f t="shared" si="99"/>
        <v>66.5</v>
      </c>
      <c r="F77">
        <f t="shared" si="100"/>
        <v>72.5</v>
      </c>
      <c r="G77" s="2">
        <f t="shared" si="101"/>
        <v>6.125</v>
      </c>
      <c r="H77" s="6" t="str">
        <f>IFERROR(IF(C77="","",IF(E77=INDEX(O:O,MATCH(D77,N:N,0)),"best bid "&amp;IF(LEFT(INDEX(Q:Q,MATCH(D77,N:N,0)),1)-1=0,"","("&amp;LEFT(INDEX(Q:Q,MATCH(D77,N:N,0)),1)-1&amp;" with you)"),INDEX(O:O,MATCH(D77,N:N,0))&amp; " bid")&amp;" / "&amp;IF(F77=INDEX(P:P,MATCH(D77,N:N,0)),"best offer "&amp;IF(LEFT(INDEX(R:R,MATCH(D77,N:N,0)),1)-1=0,"","("&amp;LEFT(INDEX(R:R,MATCH(D77,N:N,0)),1)-1&amp;" with you)"),INDEX(P:P,MATCH(D77,N:N,0))&amp;" offer")),"")</f>
        <v xml:space="preserve">best bid  / best offer </v>
      </c>
      <c r="I77" s="1" t="str">
        <f>IFERROR(IF(C77="","",IF(E77=INDEX(O:O,MATCH(D77,N:N,0)),"",INDEX(O:O,MATCH(D77,N:N,0))&amp; " bid")&amp;IF(F77=INDEX(P:P,MATCH(D77,N:N,0)),"",IF(E77=INDEX(O:O,MATCH(D77,N:N,0)),INDEX(P:P,MATCH(D77,N:N,0))&amp;" offer"," / "&amp;INDEX(P:P,MATCH(D77,N:N,0))&amp;" offer"))),"")</f>
        <v/>
      </c>
      <c r="J77" s="1"/>
      <c r="K77" s="97" t="str">
        <f t="shared" si="102"/>
        <v>Dec-31: 66.5 / 72.5</v>
      </c>
      <c r="S77" s="6"/>
      <c r="T77" s="6" t="str">
        <f t="shared" si="95"/>
        <v>Worse bid | Better offer</v>
      </c>
      <c r="V77" s="1" t="str">
        <f t="shared" si="84"/>
        <v/>
      </c>
      <c r="W77" t="str">
        <f t="shared" si="85"/>
        <v/>
      </c>
      <c r="X77" s="2" t="str">
        <f t="shared" si="86"/>
        <v/>
      </c>
    </row>
    <row r="78" spans="2:46" ht="21" customHeight="1" x14ac:dyDescent="0.25">
      <c r="B78" t="str">
        <f t="shared" si="97"/>
        <v/>
      </c>
      <c r="C78" s="34"/>
      <c r="D78" s="36" t="str">
        <f t="shared" si="98"/>
        <v/>
      </c>
      <c r="E78" t="str">
        <f t="shared" si="99"/>
        <v/>
      </c>
      <c r="F78" t="str">
        <f t="shared" si="100"/>
        <v/>
      </c>
      <c r="G78" s="2" t="str">
        <f t="shared" si="101"/>
        <v/>
      </c>
      <c r="H78" s="6" t="str">
        <f>IFERROR(IF(C78="","",IF(E78=INDEX(O:O,MATCH(D78,N:N,0)),"best bid "&amp;IF(LEFT(INDEX(Q:Q,MATCH(D78,N:N,0)),1)-1=0,"","("&amp;LEFT(INDEX(Q:Q,MATCH(D78,N:N,0)),1)-1&amp;" with you)"),INDEX(O:O,MATCH(D78,N:N,0))&amp; " bid")&amp;" / "&amp;IF(F78=INDEX(P:P,MATCH(D78,N:N,0)),"best offer "&amp;IF(LEFT(INDEX(R:R,MATCH(D78,N:N,0)),1)-1=0,"","("&amp;LEFT(INDEX(R:R,MATCH(D78,N:N,0)),1)-1&amp;" with you)"),INDEX(P:P,MATCH(D78,N:N,0))&amp;" offer")),"")</f>
        <v/>
      </c>
      <c r="I78" s="1" t="str">
        <f>IFERROR(IF(C78="","",IF(E78=INDEX(O:O,MATCH(D78,N:N,0)),"",INDEX(O:O,MATCH(D78,N:N,0))&amp; " bid")&amp;IF(F78=INDEX(P:P,MATCH(D78,N:N,0)),"",IF(E78=INDEX(O:O,MATCH(D78,N:N,0)),INDEX(P:P,MATCH(D78,N:N,0))&amp;" offer"," / "&amp;INDEX(P:P,MATCH(D78,N:N,0))&amp;" offer"))),"")</f>
        <v/>
      </c>
      <c r="J78" s="1"/>
      <c r="K78" s="97" t="str">
        <f t="shared" si="102"/>
        <v/>
      </c>
      <c r="S78" s="6"/>
      <c r="T78" s="6" t="str">
        <f>IF(W78&lt;E78, "Better Bid | ",IF(W78&gt;E78,"Worse bid | ","")) &amp; IF(X78&gt;F78,"Better offer",IF(X78&lt;F78,"Worse offer",""))</f>
        <v/>
      </c>
      <c r="V78" s="1" t="str">
        <f t="shared" si="84"/>
        <v/>
      </c>
      <c r="W78" t="str">
        <f t="shared" si="85"/>
        <v/>
      </c>
      <c r="X78" s="2" t="str">
        <f t="shared" si="86"/>
        <v/>
      </c>
    </row>
    <row r="79" spans="2:46" ht="21" customHeight="1" x14ac:dyDescent="0.25">
      <c r="B79" t="str">
        <f t="shared" si="97"/>
        <v/>
      </c>
      <c r="C79" s="34"/>
      <c r="D79" s="36" t="str">
        <f t="shared" si="98"/>
        <v/>
      </c>
      <c r="E79" t="str">
        <f t="shared" si="99"/>
        <v/>
      </c>
      <c r="F79" t="str">
        <f t="shared" si="100"/>
        <v/>
      </c>
      <c r="G79" s="2" t="str">
        <f t="shared" si="101"/>
        <v/>
      </c>
      <c r="H79" s="6" t="str">
        <f>IFERROR(IF(C79="","",IF(E79=INDEX(O:O,MATCH(D79,N:N,0)),"best bid "&amp;IF(LEFT(INDEX(Q:Q,MATCH(D79,N:N,0)),1)-1=0,"","("&amp;LEFT(INDEX(Q:Q,MATCH(D79,N:N,0)),1)-1&amp;" with you)"),INDEX(O:O,MATCH(D79,N:N,0))&amp; " bid")&amp;" / "&amp;IF(F79=INDEX(P:P,MATCH(D79,N:N,0)),"best offer "&amp;IF(LEFT(INDEX(R:R,MATCH(D79,N:N,0)),1)-1=0,"","("&amp;LEFT(INDEX(R:R,MATCH(D79,N:N,0)),1)-1&amp;" with you)"),INDEX(P:P,MATCH(D79,N:N,0))&amp;" offer")),"")</f>
        <v/>
      </c>
      <c r="I79" s="1" t="str">
        <f>IFERROR(IF(C79="","",IF(E79=INDEX(O:O,MATCH(D79,N:N,0)),"",INDEX(O:O,MATCH(D79,N:N,0))&amp; " bid")&amp;IF(F79=INDEX(P:P,MATCH(D79,N:N,0)),"",IF(E79=INDEX(O:O,MATCH(D79,N:N,0)),INDEX(P:P,MATCH(D79,N:N,0))&amp;" offer"," / "&amp;INDEX(P:P,MATCH(D79,N:N,0))&amp;" offer"))),"")</f>
        <v/>
      </c>
      <c r="J79" s="1"/>
      <c r="K79" s="97" t="str">
        <f t="shared" si="102"/>
        <v/>
      </c>
      <c r="S79" s="7"/>
      <c r="T79" s="7"/>
    </row>
    <row r="80" spans="2:46" ht="21" customHeight="1" x14ac:dyDescent="0.25">
      <c r="B80" t="str">
        <f t="shared" si="97"/>
        <v/>
      </c>
      <c r="C80" s="34"/>
      <c r="D80" s="36" t="str">
        <f t="shared" si="98"/>
        <v/>
      </c>
      <c r="E80" t="str">
        <f t="shared" si="99"/>
        <v/>
      </c>
      <c r="F80" t="str">
        <f t="shared" si="100"/>
        <v/>
      </c>
      <c r="G80" s="2" t="str">
        <f t="shared" si="101"/>
        <v/>
      </c>
      <c r="H80" s="6" t="str">
        <f>IFERROR(IF(C80="","",IF(E80=INDEX(O:O,MATCH(D80,N:N,0)),"best bid "&amp;IF(LEFT(INDEX(Q:Q,MATCH(D80,N:N,0)),1)-1=0,"","("&amp;LEFT(INDEX(Q:Q,MATCH(D80,N:N,0)),1)-1&amp;" with you)"),INDEX(O:O,MATCH(D80,N:N,0))&amp; " bid")&amp;" / "&amp;IF(F80=INDEX(P:P,MATCH(D80,N:N,0)),"best offer "&amp;IF(LEFT(INDEX(R:R,MATCH(D80,N:N,0)),1)-1=0,"","("&amp;LEFT(INDEX(R:R,MATCH(D80,N:N,0)),1)-1&amp;" with you)"),INDEX(P:P,MATCH(D80,N:N,0))&amp;" offer")),"")</f>
        <v/>
      </c>
      <c r="I80" s="1" t="str">
        <f>IFERROR(IF(C80="","",IF(E80=INDEX(O:O,MATCH(D80,N:N,0)),"",INDEX(O:O,MATCH(D80,N:N,0))&amp; " bid")&amp;IF(F80=INDEX(P:P,MATCH(D80,N:N,0)),"",IF(E80=INDEX(O:O,MATCH(D80,N:N,0)),INDEX(P:P,MATCH(D80,N:N,0))&amp;" offer"," / "&amp;INDEX(P:P,MATCH(D80,N:N,0))&amp;" offer"))),"")</f>
        <v/>
      </c>
      <c r="J80" s="1"/>
      <c r="K80" s="97" t="str">
        <f t="shared" si="102"/>
        <v/>
      </c>
    </row>
    <row r="81" spans="2:11" ht="21" customHeight="1" x14ac:dyDescent="0.25">
      <c r="B81" t="str">
        <f t="shared" si="97"/>
        <v/>
      </c>
      <c r="C81" s="34"/>
      <c r="D81" s="36" t="str">
        <f t="shared" si="98"/>
        <v/>
      </c>
      <c r="E81" t="str">
        <f t="shared" si="99"/>
        <v/>
      </c>
      <c r="F81" t="str">
        <f t="shared" si="100"/>
        <v/>
      </c>
      <c r="G81" s="2" t="str">
        <f t="shared" si="101"/>
        <v/>
      </c>
      <c r="H81" s="6" t="str">
        <f>IFERROR(IF(C81="","",IF(E81=INDEX(O:O,MATCH(D81,N:N,0)),"best bid "&amp;IF(LEFT(INDEX(Q:Q,MATCH(D81,N:N,0)),1)-1=0,"","("&amp;LEFT(INDEX(Q:Q,MATCH(D81,N:N,0)),1)-1&amp;" with you)"),INDEX(O:O,MATCH(D81,N:N,0))&amp; " bid")&amp;" / "&amp;IF(F81=INDEX(P:P,MATCH(D81,N:N,0)),"best offer "&amp;IF(LEFT(INDEX(R:R,MATCH(D81,N:N,0)),1)-1=0,"","("&amp;LEFT(INDEX(R:R,MATCH(D81,N:N,0)),1)-1&amp;" with you)"),INDEX(P:P,MATCH(D81,N:N,0))&amp;" offer")),"")</f>
        <v/>
      </c>
      <c r="I81" s="1" t="str">
        <f>IFERROR(IF(C81="","",IF(E81=INDEX(O:O,MATCH(D81,N:N,0)),"",INDEX(O:O,MATCH(D81,N:N,0))&amp; " bid")&amp;IF(F81=INDEX(P:P,MATCH(D81,N:N,0)),"",IF(E81=INDEX(O:O,MATCH(D81,N:N,0)),INDEX(P:P,MATCH(D81,N:N,0))&amp;" offer"," / "&amp;INDEX(P:P,MATCH(D81,N:N,0))&amp;" offer"))),"")</f>
        <v/>
      </c>
      <c r="J81" s="1"/>
      <c r="K81" s="97" t="str">
        <f t="shared" si="102"/>
        <v/>
      </c>
    </row>
    <row r="82" spans="2:11" ht="21" customHeight="1" x14ac:dyDescent="0.25">
      <c r="B82" t="str">
        <f t="shared" si="97"/>
        <v/>
      </c>
      <c r="C82" s="34"/>
      <c r="D82" s="36" t="str">
        <f t="shared" si="98"/>
        <v/>
      </c>
      <c r="E82" t="str">
        <f t="shared" si="99"/>
        <v/>
      </c>
      <c r="F82" t="str">
        <f t="shared" si="100"/>
        <v/>
      </c>
      <c r="G82" s="2" t="str">
        <f t="shared" si="101"/>
        <v/>
      </c>
      <c r="H82" s="6" t="str">
        <f>IFERROR(IF(C82="","",IF(E82=INDEX(O:O,MATCH(D82,N:N,0)),"best bid "&amp;IF(LEFT(INDEX(Q:Q,MATCH(D82,N:N,0)),1)-1=0,"","("&amp;LEFT(INDEX(Q:Q,MATCH(D82,N:N,0)),1)-1&amp;" with you)"),INDEX(O:O,MATCH(D82,N:N,0))&amp; " bid")&amp;" / "&amp;IF(F82=INDEX(P:P,MATCH(D82,N:N,0)),"best offer "&amp;IF(LEFT(INDEX(R:R,MATCH(D82,N:N,0)),1)-1=0,"","("&amp;LEFT(INDEX(R:R,MATCH(D82,N:N,0)),1)-1&amp;" with you)"),INDEX(P:P,MATCH(D82,N:N,0))&amp;" offer")),"")</f>
        <v/>
      </c>
      <c r="I82" s="1" t="str">
        <f>IFERROR(IF(C82="","",IF(E82=INDEX(O:O,MATCH(D82,N:N,0)),"",INDEX(O:O,MATCH(D82,N:N,0))&amp; " bid")&amp;IF(F82=INDEX(P:P,MATCH(D82,N:N,0)),"",IF(E82=INDEX(O:O,MATCH(D82,N:N,0)),INDEX(P:P,MATCH(D82,N:N,0))&amp;" offer"," / "&amp;INDEX(P:P,MATCH(D82,N:N,0))&amp;" offer"))),"")</f>
        <v/>
      </c>
      <c r="J82" s="1"/>
      <c r="K82" s="97" t="str">
        <f t="shared" si="102"/>
        <v/>
      </c>
    </row>
    <row r="83" spans="2:11" ht="21" customHeight="1" thickBot="1" x14ac:dyDescent="0.3"/>
    <row r="84" spans="2:11" ht="21" customHeight="1" thickBot="1" x14ac:dyDescent="0.3">
      <c r="D84" s="36" t="str">
        <f>IF(C84="","",SUBSTITUTE(LEFT(C84,FIND(" ",C84)-1),"-",""))</f>
        <v/>
      </c>
      <c r="E84" t="str">
        <f t="shared" ref="E84:E96" si="103">IF(C84="","",IFERROR(IFERROR(VALUE(SUBSTITUTE(MID(C84,FIND(" ",C84),FIND("/",C84)-FIND(" ",C84))," ","")),IF(FIND("B",UPPER(C84)),VALUE(MID(C84,FIND(" ",C84),FIND("B",UPPER(C84))-FIND(" ",C84))),"")),""))</f>
        <v/>
      </c>
      <c r="F84" t="str">
        <f t="shared" ref="F84:F96" si="104">IF(C84="","",IFERROR(IFERROR(VALUE(SUBSTITUTE(RIGHT(C84,LEN(C84)-FIND("/",C84))," ","")),IF(FIND("O",UPPER(C84)),VALUE(MID(C84,FIND(" ",C84),FIND("O",UPPER(C84))-FIND(" ",C84))),"")),""))</f>
        <v/>
      </c>
      <c r="I84" t="str">
        <f>IFERROR(IF(C84="","",IF(E84=INDEX(O:O,MATCH(D84,N:N,0)),"you are best bid "&amp;IF(INDEX(Q:Q,MATCH(D84,N:N,0))-1=0,"","("&amp;INDEX(Q:Q,MATCH(D84,N:N,0))-1&amp;" with you)"),INDEX(O:O,MATCH(D84,N:N,0))&amp; " bid")&amp;" / "&amp;IF(F84=INDEX(P:P,MATCH(D84,N:N,0)),"you are best offer "&amp;IF(INDEX(R:R,MATCH(D84,N:N,0))-1=0,"","("&amp;INDEX(R:R,MATCH(D84,N:N,0))-1&amp;" with you)"),INDEX(P:P,MATCH(D84,N:N,0))&amp;" offer")),"")</f>
        <v/>
      </c>
      <c r="J84" s="133" t="str">
        <f xml:space="preserve"> "Your feedback Roland"</f>
        <v>Your feedback Roland</v>
      </c>
      <c r="K84" s="158" t="str">
        <f>J84</f>
        <v>Your feedback Roland</v>
      </c>
    </row>
    <row r="85" spans="2:11" ht="21" customHeight="1" thickBot="1" x14ac:dyDescent="0.3">
      <c r="B85" s="127" t="s">
        <v>20</v>
      </c>
      <c r="C85" s="128"/>
      <c r="D85" s="81" t="str">
        <f>IF(C85="","",SUBSTITUTE(LEFT(C85,FIND(" ",C85)-1),"-",""))</f>
        <v/>
      </c>
      <c r="E85" s="81" t="str">
        <f t="shared" si="103"/>
        <v/>
      </c>
      <c r="F85" s="81" t="str">
        <f t="shared" si="104"/>
        <v/>
      </c>
      <c r="G85" s="81" t="str">
        <f>IF(C85="","",VALUE(SUBSTITUTE(SUBSTITUTE(SUBSTITUTE(SUBSTITUTE(SUBSTITUTE(RIGHT(C85,LEN(C85)-FIND("vs",C85)+1),"basis",""),"vs.","")," ",""),":",""),"vs","")))</f>
        <v/>
      </c>
      <c r="H85" s="131" t="s">
        <v>13</v>
      </c>
      <c r="I85" s="131" t="s">
        <v>14</v>
      </c>
      <c r="J85" s="1">
        <f>C85</f>
        <v>0</v>
      </c>
      <c r="K85" s="97">
        <f>C85</f>
        <v>0</v>
      </c>
    </row>
    <row r="86" spans="2:11" ht="21" customHeight="1" x14ac:dyDescent="0.25">
      <c r="B86" s="68" t="str">
        <f t="shared" ref="B86:B96" si="105">IF(C86="","",IF(B85="",IF(B84="","",B84),B85))</f>
        <v/>
      </c>
      <c r="C86" s="34"/>
      <c r="D86" s="36" t="str">
        <f>IF(C86="","",SUBSTITUTE(LEFT(C86,FIND(" ",C86)-1),"-",""))</f>
        <v/>
      </c>
      <c r="E86" t="str">
        <f t="shared" si="103"/>
        <v/>
      </c>
      <c r="F86" t="str">
        <f t="shared" si="104"/>
        <v/>
      </c>
      <c r="G86" t="str">
        <f t="shared" ref="G86:G96" si="106">IF(C86="","",IF(G85="",IF(G84="","",G84),G85))</f>
        <v/>
      </c>
      <c r="H86" s="6"/>
      <c r="I86" s="6" t="str">
        <f>IFERROR(IF(C86="","",IF(E86=INDEX(O:O,MATCH(D86,N:N,0)),"",INDEX(O:O,MATCH(D86,N:N,0))&amp; " bid")&amp;IF(F86=INDEX(P:P,MATCH(D86,N:N,0)),"",IF(E86=INDEX(O:O,MATCH(D86,N:N,0)),INDEX(P:P,MATCH(D86,N:N,0))&amp;" offer"," / "&amp;INDEX(P:P,MATCH(D86,N:N,0))&amp;" offer"))),"")</f>
        <v/>
      </c>
      <c r="J86" s="1" t="str">
        <f t="shared" ref="J86:J96" si="107">IF(C86="","",IF(I86="",C86,C86&amp;" -&gt; "&amp;I86))</f>
        <v/>
      </c>
      <c r="K86" s="97"/>
    </row>
    <row r="87" spans="2:11" ht="21" customHeight="1" x14ac:dyDescent="0.25">
      <c r="B87" s="68" t="str">
        <f t="shared" si="105"/>
        <v/>
      </c>
      <c r="C87" s="34"/>
      <c r="D87" s="36" t="str">
        <f t="shared" ref="D87:D95" si="108">IF(C87="","",SUBSTITUTE(SUBSTITUTE(LEFT(C87,FIND(" ",C87)-1),"-",""),":",""))</f>
        <v/>
      </c>
      <c r="E87" t="str">
        <f t="shared" si="103"/>
        <v/>
      </c>
      <c r="F87" t="str">
        <f t="shared" si="104"/>
        <v/>
      </c>
      <c r="G87" t="str">
        <f t="shared" si="106"/>
        <v/>
      </c>
      <c r="H87" s="6" t="str">
        <f>IFERROR(IF(C87="","",IF(E87=INDEX(O:O,MATCH(D87,N:N,0)),"best bid "&amp;IF(LEFT(INDEX(Q:Q,MATCH(D87,N:N,0)),1)-1=0,"","("&amp;LEFT(INDEX(Q:Q,MATCH(D87,N:N,0)),1)-1&amp;" with you)"),INDEX(O:O,MATCH(D87,N:N,0))&amp; " bid")&amp;" / "&amp;IF(F87=INDEX(P:P,MATCH(D87,N:N,0)),"best offer "&amp;IF(LEFT(INDEX(R:R,MATCH(D87,N:N,0)),1)-1=0,"","("&amp;LEFT(INDEX(R:R,MATCH(D87,N:N,0)),1)-1&amp;" with you)"),INDEX(P:P,MATCH(D87,N:N,0))&amp;" offer")),"")</f>
        <v/>
      </c>
      <c r="I87" s="6" t="str">
        <f>IFERROR(IF(C87="","",IF(E87=INDEX(O:O,MATCH(D87,N:N,0)),"",INDEX(O:O,MATCH(D87,N:N,0))&amp; " bid")&amp;IF(F87=INDEX(P:P,MATCH(D87,N:N,0)),"",IF(E87=INDEX(O:O,MATCH(D87,N:N,0)),INDEX(P:P,MATCH(D87,N:N,0))&amp;" offer"," / "&amp;INDEX(P:P,MATCH(D87,N:N,0))&amp;" offer"))),"")</f>
        <v/>
      </c>
      <c r="J87" s="1" t="str">
        <f t="shared" si="107"/>
        <v/>
      </c>
      <c r="K87" s="97" t="str">
        <f t="shared" ref="K87:K98" si="109">IF(C87="","",IF(I87="",C87,C87&amp;" -&gt; "&amp;I87))</f>
        <v/>
      </c>
    </row>
    <row r="88" spans="2:11" ht="21" customHeight="1" x14ac:dyDescent="0.25">
      <c r="B88" s="68" t="str">
        <f t="shared" si="105"/>
        <v/>
      </c>
      <c r="C88" s="34"/>
      <c r="D88" s="36" t="str">
        <f t="shared" si="108"/>
        <v/>
      </c>
      <c r="E88" t="str">
        <f t="shared" si="103"/>
        <v/>
      </c>
      <c r="F88" t="str">
        <f t="shared" si="104"/>
        <v/>
      </c>
      <c r="G88" t="str">
        <f t="shared" si="106"/>
        <v/>
      </c>
      <c r="H88" s="6" t="str">
        <f>IFERROR(IF(C88="","",IF(E88=INDEX(O:O,MATCH(D88,N:N,0)),"best bid "&amp;IF(LEFT(INDEX(Q:Q,MATCH(D88,N:N,0)),1)-1=0,"","("&amp;LEFT(INDEX(Q:Q,MATCH(D88,N:N,0)),1)-1&amp;" with you)"),INDEX(O:O,MATCH(D88,N:N,0))&amp; " bid")&amp;" / "&amp;IF(F88=INDEX(P:P,MATCH(D88,N:N,0)),"best offer "&amp;IF(LEFT(INDEX(R:R,MATCH(D88,N:N,0)),1)-1=0,"","("&amp;LEFT(INDEX(R:R,MATCH(D88,N:N,0)),1)-1&amp;" with you)"),INDEX(P:P,MATCH(D88,N:N,0))&amp;" offer")),"")</f>
        <v/>
      </c>
      <c r="I88" s="6" t="str">
        <f>IFERROR(IF(C88="","",IF(E88=INDEX(O:O,MATCH(D88,N:N,0)),"",INDEX(O:O,MATCH(D88,N:N,0))&amp; " bid")&amp;IF(F88=INDEX(P:P,MATCH(D88,N:N,0)),"",IF(E88=INDEX(O:O,MATCH(D88,N:N,0)),INDEX(P:P,MATCH(D88,N:N,0))&amp;" offer"," / "&amp;INDEX(P:P,MATCH(D88,N:N,0))&amp;" offer"))),"")</f>
        <v/>
      </c>
      <c r="J88" s="1" t="str">
        <f t="shared" si="107"/>
        <v/>
      </c>
      <c r="K88" s="97" t="str">
        <f t="shared" si="109"/>
        <v/>
      </c>
    </row>
    <row r="89" spans="2:11" ht="21" customHeight="1" x14ac:dyDescent="0.25">
      <c r="B89" s="68" t="str">
        <f t="shared" si="105"/>
        <v/>
      </c>
      <c r="C89" s="34"/>
      <c r="D89" s="36" t="str">
        <f t="shared" si="108"/>
        <v/>
      </c>
      <c r="E89" t="str">
        <f t="shared" si="103"/>
        <v/>
      </c>
      <c r="F89" t="str">
        <f t="shared" si="104"/>
        <v/>
      </c>
      <c r="G89" t="str">
        <f t="shared" si="106"/>
        <v/>
      </c>
      <c r="H89" s="6" t="str">
        <f>IFERROR(IF(C89="","",IF(E89=INDEX(O:O,MATCH(D89,N:N,0)),"best bid "&amp;IF(LEFT(INDEX(Q:Q,MATCH(D89,N:N,0)),1)-1=0,"","("&amp;LEFT(INDEX(Q:Q,MATCH(D89,N:N,0)),1)-1&amp;" with you)"),INDEX(O:O,MATCH(D89,N:N,0))&amp; " bid")&amp;" / "&amp;IF(F89=INDEX(P:P,MATCH(D89,N:N,0)),"best offer "&amp;IF(LEFT(INDEX(R:R,MATCH(D89,N:N,0)),1)-1=0,"","("&amp;LEFT(INDEX(R:R,MATCH(D89,N:N,0)),1)-1&amp;" with you)"),INDEX(P:P,MATCH(D89,N:N,0))&amp;" offer")),"")</f>
        <v/>
      </c>
      <c r="I89" s="6" t="str">
        <f>IFERROR(IF(C89="","",IF(E89=INDEX(O:O,MATCH(D89,N:N,0)),"",INDEX(O:O,MATCH(D89,N:N,0))&amp; " bid")&amp;IF(F89=INDEX(P:P,MATCH(D89,N:N,0)),"",IF(E89=INDEX(O:O,MATCH(D89,N:N,0)),INDEX(P:P,MATCH(D89,N:N,0))&amp;" offer"," / "&amp;INDEX(P:P,MATCH(D89,N:N,0))&amp;" offer"))),"")</f>
        <v/>
      </c>
      <c r="J89" s="1" t="str">
        <f t="shared" si="107"/>
        <v/>
      </c>
      <c r="K89" s="97" t="str">
        <f t="shared" si="109"/>
        <v/>
      </c>
    </row>
    <row r="90" spans="2:11" ht="21" customHeight="1" x14ac:dyDescent="0.25">
      <c r="B90" s="68" t="str">
        <f t="shared" si="105"/>
        <v/>
      </c>
      <c r="C90" s="34"/>
      <c r="D90" s="36" t="str">
        <f t="shared" si="108"/>
        <v/>
      </c>
      <c r="E90" t="str">
        <f t="shared" si="103"/>
        <v/>
      </c>
      <c r="F90" t="str">
        <f t="shared" si="104"/>
        <v/>
      </c>
      <c r="G90" t="str">
        <f t="shared" si="106"/>
        <v/>
      </c>
      <c r="H90" s="6" t="str">
        <f>IFERROR(IF(C90="","",IF(E90=INDEX(O:O,MATCH(D90,N:N,0)),"best bid "&amp;IF(LEFT(INDEX(Q:Q,MATCH(D90,N:N,0)),1)-1=0,"","("&amp;LEFT(INDEX(Q:Q,MATCH(D90,N:N,0)),1)-1&amp;" with you)"),INDEX(O:O,MATCH(D90,N:N,0))&amp; " bid")&amp;" / "&amp;IF(F90=INDEX(P:P,MATCH(D90,N:N,0)),"best offer "&amp;IF(LEFT(INDEX(R:R,MATCH(D90,N:N,0)),1)-1=0,"","("&amp;LEFT(INDEX(R:R,MATCH(D90,N:N,0)),1)-1&amp;" with you)"),INDEX(P:P,MATCH(D90,N:N,0))&amp;" offer")),"")</f>
        <v/>
      </c>
      <c r="I90" s="6" t="str">
        <f>IFERROR(IF(C90="","",IF(E90=INDEX(O:O,MATCH(D90,N:N,0)),"",INDEX(O:O,MATCH(D90,N:N,0))&amp; " bid")&amp;IF(F90=INDEX(P:P,MATCH(D90,N:N,0)),"",IF(E90=INDEX(O:O,MATCH(D90,N:N,0)),INDEX(P:P,MATCH(D90,N:N,0))&amp;" offer"," / "&amp;INDEX(P:P,MATCH(D90,N:N,0))&amp;" offer"))),"")</f>
        <v/>
      </c>
      <c r="J90" s="1" t="str">
        <f t="shared" si="107"/>
        <v/>
      </c>
      <c r="K90" s="97" t="str">
        <f t="shared" si="109"/>
        <v/>
      </c>
    </row>
    <row r="91" spans="2:11" ht="21" customHeight="1" x14ac:dyDescent="0.25">
      <c r="B91" s="68" t="str">
        <f t="shared" si="105"/>
        <v/>
      </c>
      <c r="C91" s="34"/>
      <c r="D91" s="36" t="str">
        <f t="shared" si="108"/>
        <v/>
      </c>
      <c r="E91" t="str">
        <f t="shared" si="103"/>
        <v/>
      </c>
      <c r="F91" t="str">
        <f t="shared" si="104"/>
        <v/>
      </c>
      <c r="G91" t="str">
        <f t="shared" si="106"/>
        <v/>
      </c>
      <c r="H91" s="6" t="str">
        <f>IFERROR(IF(C91="","",IF(E91=INDEX(O:O,MATCH(D91,N:N,0)),"best bid "&amp;IF(LEFT(INDEX(Q:Q,MATCH(D91,N:N,0)),1)-1=0,"","("&amp;LEFT(INDEX(Q:Q,MATCH(D91,N:N,0)),1)-1&amp;" with you)"),INDEX(O:O,MATCH(D91,N:N,0))&amp; " bid")&amp;" / "&amp;IF(F91=INDEX(P:P,MATCH(D91,N:N,0)),"best offer "&amp;IF(LEFT(INDEX(R:R,MATCH(D91,N:N,0)),1)-1=0,"","("&amp;LEFT(INDEX(R:R,MATCH(D91,N:N,0)),1)-1&amp;" with you)"),INDEX(P:P,MATCH(D91,N:N,0))&amp;" offer")),"")</f>
        <v/>
      </c>
      <c r="I91" s="6" t="str">
        <f>IFERROR(IF(C91="","",IF(E91=INDEX(O:O,MATCH(D91,N:N,0)),"",INDEX(O:O,MATCH(D91,N:N,0))&amp; " bid")&amp;IF(F91=INDEX(P:P,MATCH(D91,N:N,0)),"",IF(E91=INDEX(O:O,MATCH(D91,N:N,0)),INDEX(P:P,MATCH(D91,N:N,0))&amp;" offer"," / "&amp;INDEX(P:P,MATCH(D91,N:N,0))&amp;" offer"))),"")</f>
        <v/>
      </c>
      <c r="J91" s="1" t="str">
        <f t="shared" si="107"/>
        <v/>
      </c>
      <c r="K91" s="97" t="str">
        <f t="shared" si="109"/>
        <v/>
      </c>
    </row>
    <row r="92" spans="2:11" ht="21" customHeight="1" x14ac:dyDescent="0.25">
      <c r="B92" s="68" t="str">
        <f t="shared" si="105"/>
        <v/>
      </c>
      <c r="C92" s="34"/>
      <c r="D92" s="36" t="str">
        <f t="shared" si="108"/>
        <v/>
      </c>
      <c r="E92" t="str">
        <f t="shared" si="103"/>
        <v/>
      </c>
      <c r="F92" t="str">
        <f t="shared" si="104"/>
        <v/>
      </c>
      <c r="G92" t="str">
        <f t="shared" si="106"/>
        <v/>
      </c>
      <c r="H92" s="6" t="str">
        <f>IFERROR(IF(C92="","",IF(E92=INDEX(O:O,MATCH(D92,N:N,0)),"best bid "&amp;IF(LEFT(INDEX(Q:Q,MATCH(D92,N:N,0)),1)-1=0,"","("&amp;LEFT(INDEX(Q:Q,MATCH(D92,N:N,0)),1)-1&amp;" with you)"),INDEX(O:O,MATCH(D92,N:N,0))&amp; " bid")&amp;" / "&amp;IF(F92=INDEX(P:P,MATCH(D92,N:N,0)),"best offer "&amp;IF(LEFT(INDEX(R:R,MATCH(D92,N:N,0)),1)-1=0,"","("&amp;LEFT(INDEX(R:R,MATCH(D92,N:N,0)),1)-1&amp;" with you)"),INDEX(P:P,MATCH(D92,N:N,0))&amp;" offer")),"")</f>
        <v/>
      </c>
      <c r="I92" s="6" t="str">
        <f>IFERROR(IF(C92="","",IF(E92=INDEX(O:O,MATCH(D92,N:N,0)),"",INDEX(O:O,MATCH(D92,N:N,0))&amp; " bid")&amp;IF(F92=INDEX(P:P,MATCH(D92,N:N,0)),"",IF(E92=INDEX(O:O,MATCH(D92,N:N,0)),INDEX(P:P,MATCH(D92,N:N,0))&amp;" offer"," / "&amp;INDEX(P:P,MATCH(D92,N:N,0))&amp;" offer"))),"")</f>
        <v/>
      </c>
      <c r="J92" s="1" t="str">
        <f t="shared" si="107"/>
        <v/>
      </c>
      <c r="K92" s="97" t="str">
        <f t="shared" si="109"/>
        <v/>
      </c>
    </row>
    <row r="93" spans="2:11" ht="21" customHeight="1" x14ac:dyDescent="0.25">
      <c r="B93" s="68" t="str">
        <f t="shared" si="105"/>
        <v/>
      </c>
      <c r="C93" s="34"/>
      <c r="D93" s="36" t="str">
        <f t="shared" si="108"/>
        <v/>
      </c>
      <c r="E93" t="str">
        <f t="shared" si="103"/>
        <v/>
      </c>
      <c r="F93" t="str">
        <f t="shared" si="104"/>
        <v/>
      </c>
      <c r="G93" t="str">
        <f t="shared" si="106"/>
        <v/>
      </c>
      <c r="H93" s="6" t="str">
        <f>IFERROR(IF(C93="","",IF(E93=INDEX(O:O,MATCH(D93,N:N,0)),"best bid "&amp;IF(LEFT(INDEX(Q:Q,MATCH(D93,N:N,0)),1)-1=0,"","("&amp;LEFT(INDEX(Q:Q,MATCH(D93,N:N,0)),1)-1&amp;" with you)"),INDEX(O:O,MATCH(D93,N:N,0))&amp; " bid")&amp;" / "&amp;IF(F93=INDEX(P:P,MATCH(D93,N:N,0)),"best offer "&amp;IF(LEFT(INDEX(R:R,MATCH(D93,N:N,0)),1)-1=0,"","("&amp;LEFT(INDEX(R:R,MATCH(D93,N:N,0)),1)-1&amp;" with you)"),INDEX(P:P,MATCH(D93,N:N,0))&amp;" offer")),"")</f>
        <v/>
      </c>
      <c r="I93" s="6" t="str">
        <f>IFERROR(IF(C93="","",IF(E93=INDEX(O:O,MATCH(D93,N:N,0)),"",INDEX(O:O,MATCH(D93,N:N,0))&amp; " bid")&amp;IF(F93=INDEX(P:P,MATCH(D93,N:N,0)),"",IF(E93=INDEX(O:O,MATCH(D93,N:N,0)),INDEX(P:P,MATCH(D93,N:N,0))&amp;" offer"," / "&amp;INDEX(P:P,MATCH(D93,N:N,0))&amp;" offer"))),"")</f>
        <v/>
      </c>
      <c r="J93" s="1" t="str">
        <f t="shared" si="107"/>
        <v/>
      </c>
      <c r="K93" s="97" t="str">
        <f t="shared" si="109"/>
        <v/>
      </c>
    </row>
    <row r="94" spans="2:11" ht="21" customHeight="1" x14ac:dyDescent="0.25">
      <c r="B94" s="68" t="str">
        <f t="shared" si="105"/>
        <v/>
      </c>
      <c r="C94" s="34"/>
      <c r="D94" s="36" t="str">
        <f t="shared" si="108"/>
        <v/>
      </c>
      <c r="E94" t="str">
        <f t="shared" si="103"/>
        <v/>
      </c>
      <c r="F94" t="str">
        <f t="shared" si="104"/>
        <v/>
      </c>
      <c r="G94" t="str">
        <f t="shared" si="106"/>
        <v/>
      </c>
      <c r="H94" s="6" t="str">
        <f>IFERROR(IF(C94="","",IF(E94=INDEX(O:O,MATCH(D94,N:N,0)),"best bid "&amp;IF(LEFT(INDEX(Q:Q,MATCH(D94,N:N,0)),1)-1=0,"","("&amp;LEFT(INDEX(Q:Q,MATCH(D94,N:N,0)),1)-1&amp;" with you)"),INDEX(O:O,MATCH(D94,N:N,0))&amp; " bid")&amp;" / "&amp;IF(F94=INDEX(P:P,MATCH(D94,N:N,0)),"best offer "&amp;IF(LEFT(INDEX(R:R,MATCH(D94,N:N,0)),1)-1=0,"","("&amp;LEFT(INDEX(R:R,MATCH(D94,N:N,0)),1)-1&amp;" with you)"),INDEX(P:P,MATCH(D94,N:N,0))&amp;" offer")),"")</f>
        <v/>
      </c>
      <c r="I94" s="6" t="str">
        <f>IFERROR(IF(C94="","",IF(E94=INDEX(O:O,MATCH(D94,N:N,0)),"",INDEX(O:O,MATCH(D94,N:N,0))&amp; " bid")&amp;IF(F94=INDEX(P:P,MATCH(D94,N:N,0)),"",IF(E94=INDEX(O:O,MATCH(D94,N:N,0)),INDEX(P:P,MATCH(D94,N:N,0))&amp;" offer"," / "&amp;INDEX(P:P,MATCH(D94,N:N,0))&amp;" offer"))),"")</f>
        <v/>
      </c>
      <c r="J94" s="1" t="str">
        <f t="shared" si="107"/>
        <v/>
      </c>
      <c r="K94" s="97" t="str">
        <f t="shared" si="109"/>
        <v/>
      </c>
    </row>
    <row r="95" spans="2:11" ht="21" customHeight="1" x14ac:dyDescent="0.25">
      <c r="B95" s="68" t="str">
        <f t="shared" si="105"/>
        <v/>
      </c>
      <c r="C95" s="34"/>
      <c r="D95" s="36" t="str">
        <f t="shared" si="108"/>
        <v/>
      </c>
      <c r="E95" t="str">
        <f t="shared" si="103"/>
        <v/>
      </c>
      <c r="F95" t="str">
        <f t="shared" si="104"/>
        <v/>
      </c>
      <c r="G95" t="str">
        <f t="shared" si="106"/>
        <v/>
      </c>
      <c r="H95" s="6" t="str">
        <f>IFERROR(IF(C95="","",IF(E95=INDEX(O:O,MATCH(D95,N:N,0)),"best bid "&amp;IF(LEFT(INDEX(Q:Q,MATCH(D95,N:N,0)),1)-1=0,"","("&amp;LEFT(INDEX(Q:Q,MATCH(D95,N:N,0)),1)-1&amp;" with you)"),INDEX(O:O,MATCH(D95,N:N,0))&amp; " bid")&amp;" / "&amp;IF(F95=INDEX(P:P,MATCH(D95,N:N,0)),"best offer "&amp;IF(LEFT(INDEX(R:R,MATCH(D95,N:N,0)),1)-1=0,"","("&amp;LEFT(INDEX(R:R,MATCH(D95,N:N,0)),1)-1&amp;" with you)"),INDEX(P:P,MATCH(D95,N:N,0))&amp;" offer")),"")</f>
        <v/>
      </c>
      <c r="I95" s="6" t="str">
        <f>IFERROR(IF(C95="","",IF(E95=INDEX(O:O,MATCH(D95,N:N,0)),"",INDEX(O:O,MATCH(D95,N:N,0))&amp; " bid")&amp;IF(F95=INDEX(P:P,MATCH(D95,N:N,0)),"",IF(E95=INDEX(O:O,MATCH(D95,N:N,0)),INDEX(P:P,MATCH(D95,N:N,0))&amp;" offer"," / "&amp;INDEX(P:P,MATCH(D95,N:N,0))&amp;" offer"))),"")</f>
        <v/>
      </c>
      <c r="J95" s="1" t="str">
        <f t="shared" si="107"/>
        <v/>
      </c>
      <c r="K95" s="97" t="str">
        <f t="shared" si="109"/>
        <v/>
      </c>
    </row>
    <row r="96" spans="2:11" ht="21" customHeight="1" x14ac:dyDescent="0.25">
      <c r="B96" s="68" t="str">
        <f t="shared" si="105"/>
        <v/>
      </c>
      <c r="C96" s="34"/>
      <c r="D96" s="36" t="str">
        <f>IF(C96="","",SUBSTITUTE(LEFT(C96,FIND(" ",C96)-1),"-",""))</f>
        <v/>
      </c>
      <c r="E96" t="str">
        <f t="shared" si="103"/>
        <v/>
      </c>
      <c r="F96" t="str">
        <f t="shared" si="104"/>
        <v/>
      </c>
      <c r="G96" t="str">
        <f t="shared" si="106"/>
        <v/>
      </c>
      <c r="H96" s="6" t="str">
        <f>IFERROR(IF(C96="","",IF(E96=INDEX(O:O,MATCH(D96,N:N,0)),"best bid "&amp;IF(LEFT(INDEX(Q:Q,MATCH(D96,N:N,0)),1)-1=0,"","("&amp;LEFT(INDEX(Q:Q,MATCH(D96,N:N,0)),1)-1&amp;" with you)"),INDEX(O:O,MATCH(D96,N:N,0))&amp; " bid")&amp;" / "&amp;IF(F96=INDEX(P:P,MATCH(D96,N:N,0)),"best offer "&amp;IF(LEFT(INDEX(R:R,MATCH(D96,N:N,0)),1)-1=0,"","("&amp;LEFT(INDEX(R:R,MATCH(D96,N:N,0)),1)-1&amp;" with you)"),INDEX(P:P,MATCH(D96,N:N,0))&amp;" offer")),"")</f>
        <v/>
      </c>
      <c r="I96" s="6" t="str">
        <f>IFERROR(IF(C96="","",IF(E96=INDEX(O:O,MATCH(D96,N:N,0)),"",INDEX(O:O,MATCH(D96,N:N,0))&amp; " bid")&amp;IF(F96=INDEX(P:P,MATCH(D96,N:N,0)),"",IF(E96=INDEX(O:O,MATCH(D96,N:N,0)),INDEX(P:P,MATCH(D96,N:N,0))&amp;" offer"," / "&amp;INDEX(P:P,MATCH(D96,N:N,0))&amp;" offer"))),"")</f>
        <v/>
      </c>
      <c r="J96" s="1" t="str">
        <f t="shared" si="107"/>
        <v/>
      </c>
      <c r="K96" s="97" t="str">
        <f t="shared" si="109"/>
        <v/>
      </c>
    </row>
    <row r="97" spans="2:11" ht="21" customHeight="1" x14ac:dyDescent="0.25">
      <c r="B97" s="68" t="str">
        <f t="shared" ref="B97:B98" si="110">IF(C97="","",IF(B96="",IF(B95="","",B95),B96))</f>
        <v/>
      </c>
      <c r="C97" s="34"/>
      <c r="D97" s="36" t="str">
        <f t="shared" ref="D97:D98" si="111">IF(C97="","",SUBSTITUTE(LEFT(C97,FIND(" ",C97)-1),"-",""))</f>
        <v/>
      </c>
      <c r="E97" t="str">
        <f t="shared" ref="E97:E98" si="112">IF(C97="","",IFERROR(IFERROR(VALUE(SUBSTITUTE(MID(C97,FIND(" ",C97),FIND("/",C97)-FIND(" ",C97))," ","")),IF(FIND("B",UPPER(C97)),VALUE(MID(C97,FIND(" ",C97),FIND("B",UPPER(C97))-FIND(" ",C97))),"")),""))</f>
        <v/>
      </c>
      <c r="F97" t="str">
        <f t="shared" ref="F97:F98" si="113">IF(C97="","",IFERROR(IFERROR(VALUE(SUBSTITUTE(RIGHT(C97,LEN(C97)-FIND("/",C97))," ","")),IF(FIND("O",UPPER(C97)),VALUE(MID(C97,FIND(" ",C97),FIND("O",UPPER(C97))-FIND(" ",C97))),"")),""))</f>
        <v/>
      </c>
      <c r="G97" t="str">
        <f t="shared" ref="G97:G98" si="114">IF(C97="","",IF(G96="",IF(G95="","",G95),G96))</f>
        <v/>
      </c>
      <c r="H97" s="6" t="str">
        <f>IFERROR(IF(C97="","",IF(E97=INDEX(O:O,MATCH(D97,N:N,0)),"best bid "&amp;IF(LEFT(INDEX(Q:Q,MATCH(D97,N:N,0)),1)-1=0,"","("&amp;LEFT(INDEX(Q:Q,MATCH(D97,N:N,0)),1)-1&amp;" with you)"),INDEX(O:O,MATCH(D97,N:N,0))&amp; " bid")&amp;" / "&amp;IF(F97=INDEX(P:P,MATCH(D97,N:N,0)),"best offer "&amp;IF(LEFT(INDEX(R:R,MATCH(D97,N:N,0)),1)-1=0,"","("&amp;LEFT(INDEX(R:R,MATCH(D97,N:N,0)),1)-1&amp;" with you)"),INDEX(P:P,MATCH(D97,N:N,0))&amp;" offer")),"")</f>
        <v/>
      </c>
      <c r="I97" s="6" t="str">
        <f>IFERROR(IF(C97="","",IF(E97=INDEX(O:O,MATCH(D97,N:N,0)),"",INDEX(O:O,MATCH(D97,N:N,0))&amp; " bid")&amp;IF(F97=INDEX(P:P,MATCH(D97,N:N,0)),"",IF(E97=INDEX(O:O,MATCH(D97,N:N,0)),INDEX(P:P,MATCH(D97,N:N,0))&amp;" offer"," / "&amp;INDEX(P:P,MATCH(D97,N:N,0))&amp;" offer"))),"")</f>
        <v/>
      </c>
      <c r="J97" s="1" t="str">
        <f t="shared" ref="J97:J98" si="115">IF(C97="","",IF(I97="",C97,C97&amp;" -&gt; "&amp;I97))</f>
        <v/>
      </c>
      <c r="K97" s="97" t="str">
        <f t="shared" si="109"/>
        <v/>
      </c>
    </row>
    <row r="98" spans="2:11" ht="21" customHeight="1" thickBot="1" x14ac:dyDescent="0.3">
      <c r="B98" s="70" t="str">
        <f t="shared" si="110"/>
        <v/>
      </c>
      <c r="C98" s="124"/>
      <c r="D98" s="125" t="str">
        <f t="shared" si="111"/>
        <v/>
      </c>
      <c r="E98" s="71" t="str">
        <f t="shared" si="112"/>
        <v/>
      </c>
      <c r="F98" s="71" t="str">
        <f t="shared" si="113"/>
        <v/>
      </c>
      <c r="G98" s="71" t="str">
        <f t="shared" si="114"/>
        <v/>
      </c>
      <c r="H98" s="7" t="str">
        <f>IFERROR(IF(C98="","",IF(E98=INDEX(O:O,MATCH(D98,N:N,0)),"best bid "&amp;IF(LEFT(INDEX(Q:Q,MATCH(D98,N:N,0)),1)-1=0,"","("&amp;LEFT(INDEX(Q:Q,MATCH(D98,N:N,0)),1)-1&amp;" with you)"),INDEX(O:O,MATCH(D98,N:N,0))&amp; " bid")&amp;" / "&amp;IF(F98=INDEX(P:P,MATCH(D98,N:N,0)),"best offer "&amp;IF(LEFT(INDEX(R:R,MATCH(D98,N:N,0)),1)-1=0,"","("&amp;LEFT(INDEX(R:R,MATCH(D98,N:N,0)),1)-1&amp;" with you)"),INDEX(P:P,MATCH(D98,N:N,0))&amp;" offer")),"")</f>
        <v/>
      </c>
      <c r="I98" s="7" t="str">
        <f>IFERROR(IF(C98="","",IF(E98=INDEX(O:O,MATCH(D98,N:N,0)),"",INDEX(O:O,MATCH(D98,N:N,0))&amp; " bid")&amp;IF(F98=INDEX(P:P,MATCH(D98,N:N,0)),"",IF(E98=INDEX(O:O,MATCH(D98,N:N,0)),INDEX(P:P,MATCH(D98,N:N,0))&amp;" offer"," / "&amp;INDEX(P:P,MATCH(D98,N:N,0))&amp;" offer"))),"")</f>
        <v/>
      </c>
      <c r="J98" s="3" t="str">
        <f t="shared" si="115"/>
        <v/>
      </c>
      <c r="K98" s="97" t="str">
        <f t="shared" si="109"/>
        <v/>
      </c>
    </row>
    <row r="99" spans="2:11" ht="21" customHeight="1" x14ac:dyDescent="0.25">
      <c r="D99" s="78" t="str">
        <f>IF(AND(D86&lt;&gt;"Jun23",D87&lt;&gt;"Jun23",D88&lt;&gt;"Jun23",C85&lt;&gt;""),"Jun23","")</f>
        <v/>
      </c>
      <c r="K99" s="132" t="e">
        <f>IF(OR(D98&lt;&gt;"",#REF!&lt;&gt;""),"Not in your run:","")</f>
        <v>#REF!</v>
      </c>
    </row>
    <row r="100" spans="2:11" ht="21" customHeight="1" x14ac:dyDescent="0.25">
      <c r="K100" s="97" t="str">
        <f>IF(D98&lt;&gt;"",D98&amp;" " &amp;VLOOKUP(D98,$N$4:$P$14,2,FALSE) &amp; " / " &amp; VLOOKUP(D98,$N$4:$P$14,3,FALSE),"")</f>
        <v/>
      </c>
    </row>
    <row r="101" spans="2:11" ht="21" customHeight="1" thickBot="1" x14ac:dyDescent="0.3">
      <c r="K101" s="104" t="str">
        <f>IF(D99&lt;&gt;"",D99&amp;" " &amp;VLOOKUP(D99,$N$4:$P$14,2,FALSE) &amp; " / " &amp; VLOOKUP(D99,$N$4:$P$14,3,FALSE),"")</f>
        <v/>
      </c>
    </row>
    <row r="113" spans="4:6" ht="21" customHeight="1" x14ac:dyDescent="0.25">
      <c r="D113" s="161" t="s">
        <v>164</v>
      </c>
      <c r="E113" s="161"/>
      <c r="F113" s="161"/>
    </row>
    <row r="114" spans="4:6" ht="21" customHeight="1" x14ac:dyDescent="0.25">
      <c r="D114" t="s">
        <v>163</v>
      </c>
      <c r="E114" t="s">
        <v>162</v>
      </c>
      <c r="F114" t="s">
        <v>161</v>
      </c>
    </row>
    <row r="115" spans="4:6" ht="21" customHeight="1" x14ac:dyDescent="0.25">
      <c r="D115">
        <v>4.875</v>
      </c>
      <c r="E115">
        <v>3550</v>
      </c>
      <c r="F115">
        <v>1</v>
      </c>
    </row>
    <row r="202" spans="17:17" ht="21" customHeight="1" x14ac:dyDescent="0.25">
      <c r="Q202" s="105" t="s">
        <v>111</v>
      </c>
    </row>
  </sheetData>
  <protectedRanges>
    <protectedRange algorithmName="SHA-512" hashValue="bGa0JHQvuAvS+CIKGv4h6jxolT8syN9swMMb451WFHyAfk57McW5GwQA1RhbORj5hvniJGuL62PrVv3pdjc9ww==" saltValue="aXftsKeSpNlupgcWY0GXTg==" spinCount="100000" sqref="B2:C2 B4:C4 J3 D4:J5 B6:J14" name="Range3"/>
    <protectedRange algorithmName="SHA-512" hashValue="GVv/MFTYnzm2lGIO/toeDUhxlXEj/JT0+gtwYcZI6livqgjUdI6GC9lrLPfm74cWjSCosISZOBjmOmtnl1jsOQ==" saltValue="k9KQjEAyaB/UH2kENNskWw==" spinCount="100000" sqref="AT2:AT13" name="Range2"/>
    <protectedRange algorithmName="SHA-512" hashValue="E9NtTKm8hxMbrMYlbkIXZmanQ/4KOhF0dVJVFCvuAm2cYeMZZYXGd/nw/svg50JGWpIgHECvS8brQLRl3kGwtw==" saltValue="NZ/xnAUFeS5d9MJ61UEUvw==" spinCount="100000" sqref="B2:C4 B51:B61 B6:C17 B50:C50 S68:S79 B18:B19 B33:C47 B62:C65 B20:C31 B84:C98 B67:C82 B102:C1048576" name="Range1"/>
    <protectedRange algorithmName="SHA-512" hashValue="E9NtTKm8hxMbrMYlbkIXZmanQ/4KOhF0dVJVFCvuAm2cYeMZZYXGd/nw/svg50JGWpIgHECvS8brQLRl3kGwtw==" saltValue="NZ/xnAUFeS5d9MJ61UEUvw==" spinCount="100000" sqref="C51:C61" name="Range1_1"/>
  </protectedRanges>
  <mergeCells count="2">
    <mergeCell ref="N32:N42"/>
    <mergeCell ref="D113:F113"/>
  </mergeCells>
  <phoneticPr fontId="19" type="noConversion"/>
  <conditionalFormatting sqref="N32:N42">
    <cfRule type="containsText" dxfId="22" priority="7" operator="containsText" text="CARE, BASIS ISSUE">
      <formula>NOT(ISERROR(SEARCH("CARE, BASIS ISSUE",N32)))</formula>
    </cfRule>
    <cfRule type="cellIs" dxfId="21" priority="8" operator="equal">
      <formula>"""CARE, NOT THE SAME BASIS"""</formula>
    </cfRule>
  </conditionalFormatting>
  <conditionalFormatting sqref="S4:S14">
    <cfRule type="notContainsBlanks" dxfId="20" priority="5">
      <formula>LEN(TRIM(S4))&gt;0</formula>
    </cfRule>
    <cfRule type="containsText" dxfId="19" priority="6" operator="containsText" text="MINE/YOURS">
      <formula>NOT(ISERROR(SEARCH("MINE/YOURS",S4)))</formula>
    </cfRule>
  </conditionalFormatting>
  <conditionalFormatting sqref="T18:T29 T34:T46 T51:T64 T68:T79">
    <cfRule type="containsText" dxfId="18" priority="3" operator="containsText" text="Worse">
      <formula>NOT(ISERROR(SEARCH("Worse",T18)))</formula>
    </cfRule>
    <cfRule type="containsText" dxfId="17" priority="4" operator="containsText" text="Better">
      <formula>NOT(ISERROR(SEARCH("Better",T18)))</formula>
    </cfRule>
  </conditionalFormatting>
  <conditionalFormatting sqref="L2:L29 L33:L46 L84:L98 L48:L82 L102:L1048576">
    <cfRule type="containsText" dxfId="16" priority="1" operator="containsText" text="Best">
      <formula>NOT(ISERROR(SEARCH("Best",L2)))</formula>
    </cfRule>
    <cfRule type="containsText" dxfId="15" priority="2" operator="containsText" text="&quot;Best&quot;">
      <formula>NOT(ISERROR(SEARCH("""Best""",L2)))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pournous">
                <anchor moveWithCells="1" sizeWithCells="1">
                  <from>
                    <xdr:col>17</xdr:col>
                    <xdr:colOff>142875</xdr:colOff>
                    <xdr:row>17</xdr:row>
                    <xdr:rowOff>28575</xdr:rowOff>
                  </from>
                  <to>
                    <xdr:col>17</xdr:col>
                    <xdr:colOff>1219200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poureux">
                <anchor moveWithCells="1" sizeWithCells="1">
                  <from>
                    <xdr:col>17</xdr:col>
                    <xdr:colOff>114300</xdr:colOff>
                    <xdr:row>21</xdr:row>
                    <xdr:rowOff>57150</xdr:rowOff>
                  </from>
                  <to>
                    <xdr:col>17</xdr:col>
                    <xdr:colOff>1190625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pourdem">
                <anchor moveWithCells="1" sizeWithCells="1">
                  <from>
                    <xdr:col>17</xdr:col>
                    <xdr:colOff>57150</xdr:colOff>
                    <xdr:row>25</xdr:row>
                    <xdr:rowOff>95250</xdr:rowOff>
                  </from>
                  <to>
                    <xdr:col>17</xdr:col>
                    <xdr:colOff>1200150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_xludf.Clear">
                <anchor moveWithCells="1" sizeWithCells="1">
                  <from>
                    <xdr:col>45</xdr:col>
                    <xdr:colOff>1104900</xdr:colOff>
                    <xdr:row>24</xdr:row>
                    <xdr:rowOff>114300</xdr:rowOff>
                  </from>
                  <to>
                    <xdr:col>46</xdr:col>
                    <xdr:colOff>47625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2F55-B496-44F7-AF22-3A8EC04F84E5}">
  <sheetPr codeName="Sheet3"/>
  <dimension ref="A1:AP85"/>
  <sheetViews>
    <sheetView zoomScale="85" zoomScaleNormal="85" workbookViewId="0">
      <selection activeCell="K22" sqref="K22"/>
    </sheetView>
  </sheetViews>
  <sheetFormatPr defaultRowHeight="15" outlineLevelCol="1" x14ac:dyDescent="0.25"/>
  <cols>
    <col min="2" max="2" width="25.5703125" bestFit="1" customWidth="1"/>
    <col min="3" max="6" width="9.140625" hidden="1" customWidth="1" outlineLevel="1"/>
    <col min="7" max="7" width="44.140625" hidden="1" customWidth="1" outlineLevel="1"/>
    <col min="8" max="8" width="17" hidden="1" customWidth="1" outlineLevel="1"/>
    <col min="9" max="9" width="58.5703125" customWidth="1" collapsed="1"/>
    <col min="10" max="10" width="58.42578125" hidden="1" customWidth="1" outlineLevel="1"/>
    <col min="11" max="11" width="9.140625" collapsed="1"/>
    <col min="12" max="12" width="8.42578125" customWidth="1"/>
    <col min="13" max="13" width="45.42578125" customWidth="1"/>
    <col min="14" max="14" width="9.5703125" customWidth="1"/>
    <col min="15" max="15" width="8.5703125" customWidth="1"/>
    <col min="16" max="16" width="18.7109375" style="9" customWidth="1"/>
    <col min="17" max="17" width="16.5703125" style="9" customWidth="1"/>
    <col min="18" max="18" width="30.85546875" bestFit="1" customWidth="1"/>
    <col min="21" max="40" width="9.140625" hidden="1" customWidth="1" outlineLevel="1"/>
    <col min="41" max="41" width="14" hidden="1" customWidth="1" outlineLevel="1"/>
    <col min="42" max="42" width="35" customWidth="1" collapsed="1"/>
  </cols>
  <sheetData>
    <row r="1" spans="1:42" ht="15.75" customHeight="1" x14ac:dyDescent="0.25">
      <c r="A1" s="32" t="s">
        <v>18</v>
      </c>
      <c r="B1" s="46"/>
      <c r="AP1" s="45" t="str">
        <f>"Tightest run colour " &amp;B30</f>
        <v xml:space="preserve">Tightest run colour </v>
      </c>
    </row>
    <row r="2" spans="1:42" x14ac:dyDescent="0.25">
      <c r="I2" t="str">
        <f>IF(B2="","",IF(H2="",B2,B2&amp;" -&gt; "&amp;H2))</f>
        <v/>
      </c>
      <c r="M2" s="135" t="str">
        <f>M16</f>
        <v xml:space="preserve">Tightest CAC TRF vs </v>
      </c>
      <c r="N2" s="136"/>
      <c r="O2" s="137"/>
      <c r="P2" s="29" t="s">
        <v>9</v>
      </c>
      <c r="Q2" s="30" t="s">
        <v>10</v>
      </c>
      <c r="U2" s="11" t="s">
        <v>11</v>
      </c>
      <c r="V2" s="12"/>
      <c r="W2" s="13"/>
      <c r="X2" s="13"/>
      <c r="Y2" s="12"/>
      <c r="Z2" s="12"/>
      <c r="AA2" s="12"/>
      <c r="AB2" s="12"/>
      <c r="AC2" s="12"/>
      <c r="AD2" s="14"/>
      <c r="AF2" s="11" t="s">
        <v>12</v>
      </c>
      <c r="AG2" s="12"/>
      <c r="AH2" s="13"/>
      <c r="AI2" s="13"/>
      <c r="AJ2" s="18" t="str" cm="1">
        <f t="array" ref="AJ2">IFERROR(INDEX(A:A,SMALL(IF(D:D=$N8,ROW(D:D)-ROW($D5)+1),ROWS(D:D))),"")</f>
        <v/>
      </c>
      <c r="AK2" s="12"/>
      <c r="AL2" s="12"/>
      <c r="AM2" s="12"/>
      <c r="AN2" s="12"/>
      <c r="AO2" s="12"/>
      <c r="AP2" s="6"/>
    </row>
    <row r="3" spans="1:42" x14ac:dyDescent="0.25">
      <c r="A3" t="s">
        <v>38</v>
      </c>
      <c r="B3" s="36"/>
      <c r="C3" t="str">
        <f t="shared" ref="C3:C10" si="0">IF(B3="","",SUBSTITUTE(LEFT(B3,FIND(" ",B3)-1),"-",""))</f>
        <v/>
      </c>
      <c r="D3" t="str">
        <f t="shared" ref="D3:D10" si="1">IF(B3="","",IFERROR(IFERROR(VALUE(SUBSTITUTE(MID(B3,FIND(" ",B3),FIND("/",B3)-FIND(" ",B3))," ","")),IF(FIND("B",UPPER(B3)),VALUE(MID(B3,FIND(" ",B3),FIND("B",UPPER(B3))-FIND(" ",B3))),"")),""))</f>
        <v/>
      </c>
      <c r="E3" t="str">
        <f t="shared" ref="E3:E10" si="2">IF(B3="","",IFERROR(IFERROR(VALUE(SUBSTITUTE(RIGHT(B3,LEN(B3)-FIND("/",B3))," ","")),IF(FIND("O",UPPER(B3)),VALUE(MID(B3,FIND(" ",B3),FIND("O",UPPER(B3))-FIND(" ",B3))),"")),""))</f>
        <v/>
      </c>
      <c r="F3" t="str">
        <f t="shared" ref="F3:F10" si="3">IF(B3="","",IF(F2="",IF(F1="","",F1),F2))</f>
        <v/>
      </c>
      <c r="H3" t="str">
        <f t="shared" ref="H3:H10" si="4">IFERROR(IF(B3="","",IF(D3=INDEX(N:N,MATCH(C3,M:M,0)),"",INDEX(N:N,MATCH(C3,M:M,0))&amp; " bid")&amp;IF(E3=INDEX(O:O,MATCH(C3,M:M,0)),"",IF(D3=INDEX(N:N,MATCH(C3,M:M,0)),INDEX(O:O,MATCH(C3,M:M,0))&amp;" offer"," / "&amp;INDEX(O:O,MATCH(C3,M:M,0))&amp;" offer"))),"")</f>
        <v/>
      </c>
      <c r="I3" t="str">
        <f t="shared" ref="I3:I10" si="5">IF(B3="","",IF(H3="",B3,B3&amp;" -&gt; "&amp;H3))</f>
        <v/>
      </c>
      <c r="M3" s="62" t="str">
        <f>IF(COUNTIF(C:C,"Dec22")&gt;0,"Dec22","")</f>
        <v/>
      </c>
      <c r="N3" t="str">
        <f>IF(M3&lt;&gt;"",_xlfn.MAXIFS(D:D,C:C,M3),"")</f>
        <v/>
      </c>
      <c r="O3" s="2" t="str">
        <f>IF(M3&lt;&gt;"",_xlfn.MINIFS(E:E,C:C,M3),"")</f>
        <v/>
      </c>
      <c r="P3" s="25" t="str">
        <f>IF(M3&lt;&gt;"",COUNTIF(D:D,N3) &amp; " (" &amp;_xlfn.TEXTJOIN("/",TRUE,T4:T10)&amp; ")","")</f>
        <v/>
      </c>
      <c r="Q3" s="83" t="str">
        <f>IF(M3&lt;&gt;"",COUNTIF(E:E,O3) &amp; " (" &amp;_xlfn.TEXTJOIN("/",TRUE,AE4:AE10)&amp; ")","")</f>
        <v/>
      </c>
      <c r="R3" t="str">
        <f>IFERROR(IF(N3=O3,"YOURS " &amp;RIGHT(P3,LEN(P3)-FIND("(",P3)+1)&amp;" / MINE " &amp;RIGHT(Q3,LEN(Q3)-FIND("(",Q3)+1),"")&amp;IF(O3-N3&lt;0.6,"VERY TIGHT",""),"")</f>
        <v/>
      </c>
      <c r="T3" t="str">
        <f>IF(N3&lt;&gt;"",N3,"")</f>
        <v/>
      </c>
      <c r="U3" s="19">
        <f>N4</f>
        <v>0</v>
      </c>
      <c r="V3" s="20">
        <f>N5</f>
        <v>0</v>
      </c>
      <c r="W3" s="20">
        <f>N6</f>
        <v>0</v>
      </c>
      <c r="X3" s="20">
        <f>N7</f>
        <v>0</v>
      </c>
      <c r="Y3" s="20">
        <f>N8</f>
        <v>0</v>
      </c>
      <c r="Z3" s="20">
        <f>N9</f>
        <v>0</v>
      </c>
      <c r="AA3" s="20">
        <f>N10</f>
        <v>0</v>
      </c>
      <c r="AB3" s="20">
        <f>N11</f>
        <v>0</v>
      </c>
      <c r="AC3" s="20">
        <f>N12</f>
        <v>0</v>
      </c>
      <c r="AD3" s="21">
        <f>N13</f>
        <v>0</v>
      </c>
      <c r="AE3" t="str">
        <f>IF(O3&lt;&gt;"",O3,"")</f>
        <v/>
      </c>
      <c r="AF3" s="19">
        <f>O4</f>
        <v>0</v>
      </c>
      <c r="AG3" s="20">
        <f>O5</f>
        <v>0</v>
      </c>
      <c r="AH3" s="20">
        <f>O6</f>
        <v>0</v>
      </c>
      <c r="AI3" s="20">
        <f>O7</f>
        <v>0</v>
      </c>
      <c r="AJ3" s="20">
        <f>O8</f>
        <v>0</v>
      </c>
      <c r="AK3" s="20">
        <f>O9</f>
        <v>0</v>
      </c>
      <c r="AL3" s="20">
        <f>O10</f>
        <v>0</v>
      </c>
      <c r="AM3" s="20">
        <f>O11</f>
        <v>0</v>
      </c>
      <c r="AN3" s="20">
        <f>O12</f>
        <v>0</v>
      </c>
      <c r="AO3" s="20">
        <f>O13</f>
        <v>0</v>
      </c>
      <c r="AP3" s="6" t="e" vm="1">
        <f>M4&amp;" ("&amp;LEFT(P4,1) &amp;") "&amp;N4&amp;"/"&amp; O4 &amp;" ("&amp; LEFT(Q4,1) &amp;")"</f>
        <v>#VALUE!</v>
      </c>
    </row>
    <row r="4" spans="1:42" x14ac:dyDescent="0.25">
      <c r="A4" t="s">
        <v>19</v>
      </c>
      <c r="B4" s="36"/>
      <c r="C4" t="str">
        <f t="shared" si="0"/>
        <v/>
      </c>
      <c r="D4" t="str">
        <f t="shared" si="1"/>
        <v/>
      </c>
      <c r="E4" t="str">
        <f t="shared" si="2"/>
        <v/>
      </c>
      <c r="F4" t="str">
        <f t="shared" si="3"/>
        <v/>
      </c>
      <c r="H4" t="str">
        <f t="shared" si="4"/>
        <v/>
      </c>
      <c r="I4" t="str">
        <f t="shared" si="5"/>
        <v/>
      </c>
      <c r="M4" s="19" t="s">
        <v>0</v>
      </c>
      <c r="N4">
        <f>_xlfn.MAXIFS(D:D,C:C,M4)</f>
        <v>0</v>
      </c>
      <c r="O4" s="2">
        <f t="shared" ref="O4:O7" si="6">_xlfn.MINIFS(E:E,C:C,M4)</f>
        <v>0</v>
      </c>
      <c r="P4" s="25" t="e" vm="1">
        <f>COUNTIF(D:D,N4) &amp; " (" &amp;_xlfn.TEXTJOIN("/",TRUE,U4:U1048576)&amp; ")"</f>
        <v>#VALUE!</v>
      </c>
      <c r="Q4" s="26" t="e" vm="1">
        <f>COUNTIF(E:E,O4) &amp; " (" &amp;_xlfn.TEXTJOIN("/",TRUE,AF4:AF1048576)&amp; ")"</f>
        <v>#VALUE!</v>
      </c>
      <c r="R4" t="str">
        <f>IFERROR(IF(N4=O4,"YOURS " &amp;RIGHT(P4,LEN(P4)-FIND("(",P4)+1)&amp;" / MINE " &amp;RIGHT(Q4,LEN(Q4)-FIND("(",Q4)+1),"")&amp;IF(O4-N4&lt;0.6,"VERY TIGHT",""),"")</f>
        <v/>
      </c>
      <c r="T4" t="str" cm="1">
        <f t="array" ref="T4">IF(M3&lt;&gt;"",_xlfn._xlws.FILTER($A:$A,EXACT(T$3,$D:$D)),"")</f>
        <v/>
      </c>
      <c r="U4" s="1" t="e" cm="1" vm="2">
        <f t="array" ref="U4">_xlfn._xlws.FILTER($A:$A,EXACT(U$3,$D:$D))</f>
        <v>#VALUE!</v>
      </c>
      <c r="V4" s="1" t="e" cm="1" vm="2">
        <f t="array" ref="V4">_xlfn._xlws.FILTER($A:$A,EXACT(V$3,$D:$D))</f>
        <v>#VALUE!</v>
      </c>
      <c r="W4" s="1" t="e" cm="1" vm="2">
        <f t="array" ref="W4">_xlfn._xlws.FILTER($A:$A,EXACT(W$3,$D:$D))</f>
        <v>#VALUE!</v>
      </c>
      <c r="X4" s="1" t="e" cm="1" vm="2">
        <f t="array" ref="X4">_xlfn._xlws.FILTER($A:$A,EXACT(X$3,$D:$D))</f>
        <v>#VALUE!</v>
      </c>
      <c r="Y4" s="1" t="e" cm="1" vm="2">
        <f t="array" ref="Y4">_xlfn._xlws.FILTER($A:$A,EXACT(Y$3,$D:$D))</f>
        <v>#VALUE!</v>
      </c>
      <c r="Z4" s="1" t="e" cm="1" vm="2">
        <f t="array" ref="Z4">_xlfn._xlws.FILTER($A:$A,EXACT(Z$3,$D:$D))</f>
        <v>#VALUE!</v>
      </c>
      <c r="AA4" s="1" t="e" cm="1" vm="2">
        <f t="array" ref="AA4">_xlfn._xlws.FILTER($A:$A,EXACT(AA$3,$D:$D))</f>
        <v>#VALUE!</v>
      </c>
      <c r="AB4" s="1" t="e" cm="1" vm="2">
        <f t="array" ref="AB4">_xlfn._xlws.FILTER($A:$A,EXACT(AB$3,$D:$D))</f>
        <v>#VALUE!</v>
      </c>
      <c r="AC4" s="1" t="e" cm="1" vm="2">
        <f t="array" ref="AC4">_xlfn._xlws.FILTER($A:$A,EXACT(AC$3,$D:$D))</f>
        <v>#VALUE!</v>
      </c>
      <c r="AD4" s="6" t="e" cm="1" vm="2">
        <f t="array" ref="AD4">_xlfn._xlws.FILTER($A:$A,EXACT(AD$3,$D:$D))</f>
        <v>#VALUE!</v>
      </c>
      <c r="AE4" s="1" t="str" cm="1">
        <f t="array" ref="AE4">IF(M3&lt;&gt;"",_xlfn._xlws.FILTER($A:$A,EXACT(AE$3,$E:$E)),"")</f>
        <v/>
      </c>
      <c r="AF4" s="1" t="e" cm="1" vm="2">
        <f t="array" ref="AF4">_xlfn._xlws.FILTER($A:$A,EXACT(AF$3,$E:$E))</f>
        <v>#VALUE!</v>
      </c>
      <c r="AG4" s="1" t="e" cm="1" vm="2">
        <f t="array" ref="AG4">_xlfn._xlws.FILTER($A:$A,EXACT(AG$3,$E:$E))</f>
        <v>#VALUE!</v>
      </c>
      <c r="AH4" s="1" t="e" cm="1" vm="2">
        <f t="array" ref="AH4">_xlfn._xlws.FILTER($A:$A,EXACT(AH$3,$E:$E))</f>
        <v>#VALUE!</v>
      </c>
      <c r="AI4" s="1" t="e" cm="1" vm="2">
        <f t="array" ref="AI4">_xlfn._xlws.FILTER($A:$A,EXACT(AI$3,$E:$E))</f>
        <v>#VALUE!</v>
      </c>
      <c r="AJ4" s="1" t="e" cm="1" vm="2">
        <f t="array" ref="AJ4">_xlfn._xlws.FILTER($A:$A,EXACT(AJ$3,$E:$E))</f>
        <v>#VALUE!</v>
      </c>
      <c r="AK4" s="1" t="e" cm="1" vm="2">
        <f t="array" ref="AK4">_xlfn._xlws.FILTER($A:$A,EXACT(AK$3,$E:$E))</f>
        <v>#VALUE!</v>
      </c>
      <c r="AL4" s="1" t="e" cm="1" vm="2">
        <f t="array" ref="AL4">_xlfn._xlws.FILTER($A:$A,EXACT(AL$3,$E:$E))</f>
        <v>#VALUE!</v>
      </c>
      <c r="AM4" s="1" t="e" cm="1" vm="2">
        <f t="array" ref="AM4">_xlfn._xlws.FILTER($A:$A,EXACT(AM$3,$E:$E))</f>
        <v>#VALUE!</v>
      </c>
      <c r="AN4" s="1" t="e" cm="1" vm="2">
        <f t="array" ref="AN4">_xlfn._xlws.FILTER($A:$A,EXACT(AN$3,$E:$E))</f>
        <v>#VALUE!</v>
      </c>
      <c r="AO4" s="1" t="e" cm="1" vm="2">
        <f t="array" ref="AO4">_xlfn._xlws.FILTER($A:$A,EXACT(AO$3,$E:$E))</f>
        <v>#VALUE!</v>
      </c>
      <c r="AP4" s="6" t="e" vm="1">
        <f t="shared" ref="AP4:AP10" si="7">M5&amp;" ("&amp;LEFT(P5,1) &amp;") "&amp;N5&amp;"/"&amp; O5 &amp;" ("&amp; LEFT(Q5,1) &amp;")"</f>
        <v>#VALUE!</v>
      </c>
    </row>
    <row r="5" spans="1:42" x14ac:dyDescent="0.25">
      <c r="A5" t="s">
        <v>19</v>
      </c>
      <c r="B5" s="36"/>
      <c r="C5" t="str">
        <f t="shared" si="0"/>
        <v/>
      </c>
      <c r="D5" t="str">
        <f t="shared" si="1"/>
        <v/>
      </c>
      <c r="E5" t="str">
        <f t="shared" si="2"/>
        <v/>
      </c>
      <c r="F5" t="str">
        <f t="shared" si="3"/>
        <v/>
      </c>
      <c r="H5" t="str">
        <f t="shared" si="4"/>
        <v/>
      </c>
      <c r="I5" t="str">
        <f t="shared" si="5"/>
        <v/>
      </c>
      <c r="M5" s="19" t="s">
        <v>1</v>
      </c>
      <c r="N5">
        <f>_xlfn.MAXIFS(D:D,C:C,M5)</f>
        <v>0</v>
      </c>
      <c r="O5" s="2">
        <f>_xlfn.MINIFS(E:E,C:C,M5)</f>
        <v>0</v>
      </c>
      <c r="P5" s="25" t="e" vm="1">
        <f>COUNTIF(D:D,N5) &amp; " (" &amp;_xlfn.TEXTJOIN("/",TRUE,V4:V1048576)&amp; ")"</f>
        <v>#VALUE!</v>
      </c>
      <c r="Q5" s="26" t="e" vm="1">
        <f>COUNTIF(E:E,O5)&amp; " (" &amp;_xlfn.TEXTJOIN("/",TRUE,AG4:AG1048576)&amp; ")"</f>
        <v>#VALUE!</v>
      </c>
      <c r="R5" t="str">
        <f>IFERROR(IF(N5=O5,"YOURS " &amp;RIGHT(P5,LEN(P5)-FIND("(",P5)+1)&amp;" / MINE " &amp;RIGHT(Q5,LEN(Q5)-FIND("(",Q5)+1),"")&amp;IF(O5-N5&lt;0.6,"VERY TIGHT",""),"")</f>
        <v/>
      </c>
      <c r="U5" s="1"/>
      <c r="AD5" s="2"/>
      <c r="AF5" s="1"/>
      <c r="AP5" s="6" t="e" vm="1">
        <f t="shared" si="7"/>
        <v>#VALUE!</v>
      </c>
    </row>
    <row r="6" spans="1:42" x14ac:dyDescent="0.25">
      <c r="A6" t="s">
        <v>16</v>
      </c>
      <c r="B6" s="36"/>
      <c r="C6" t="str">
        <f t="shared" si="0"/>
        <v/>
      </c>
      <c r="D6" t="str">
        <f t="shared" si="1"/>
        <v/>
      </c>
      <c r="E6" t="str">
        <f t="shared" si="2"/>
        <v/>
      </c>
      <c r="F6" t="str">
        <f t="shared" si="3"/>
        <v/>
      </c>
      <c r="H6" t="str">
        <f t="shared" si="4"/>
        <v/>
      </c>
      <c r="I6" t="str">
        <f t="shared" si="5"/>
        <v/>
      </c>
      <c r="M6" s="19" t="s">
        <v>2</v>
      </c>
      <c r="N6">
        <f t="shared" ref="N6:N7" si="8">_xlfn.MAXIFS(D:D,C:C,M6)</f>
        <v>0</v>
      </c>
      <c r="O6" s="2">
        <f t="shared" si="6"/>
        <v>0</v>
      </c>
      <c r="P6" s="25" t="e" vm="1">
        <f>COUNTIF(D:D,N6) &amp; " (" &amp;_xlfn.TEXTJOIN("/",TRUE,W4:W1048576)&amp; ")"</f>
        <v>#VALUE!</v>
      </c>
      <c r="Q6" s="26" t="e" vm="1">
        <f>COUNTIF(E:E,O6)&amp; " (" &amp;_xlfn.TEXTJOIN("/",TRUE,AH4:AH1048576)&amp; ")"</f>
        <v>#VALUE!</v>
      </c>
      <c r="R6" t="str">
        <f>IFERROR(IF(N6=O6,"YOURS " &amp;RIGHT(P6,LEN(P6)-FIND("(",P6)+1)&amp;" / MINE " &amp;RIGHT(Q6,LEN(Q6)-FIND("(",Q6)+1),"")&amp;IF(O6-N6&lt;0.6,"VERY TIGHT",""),"")</f>
        <v/>
      </c>
      <c r="U6" s="1"/>
      <c r="AD6" s="2"/>
      <c r="AF6" s="1"/>
      <c r="AP6" s="6" t="e" vm="1">
        <f t="shared" si="7"/>
        <v>#VALUE!</v>
      </c>
    </row>
    <row r="7" spans="1:42" x14ac:dyDescent="0.25">
      <c r="A7" t="s">
        <v>53</v>
      </c>
      <c r="C7" t="str">
        <f t="shared" si="0"/>
        <v/>
      </c>
      <c r="D7" t="str">
        <f t="shared" si="1"/>
        <v/>
      </c>
      <c r="E7" t="str">
        <f t="shared" si="2"/>
        <v/>
      </c>
      <c r="F7" t="str">
        <f t="shared" si="3"/>
        <v/>
      </c>
      <c r="H7" t="str">
        <f t="shared" si="4"/>
        <v/>
      </c>
      <c r="I7" t="str">
        <f t="shared" si="5"/>
        <v/>
      </c>
      <c r="M7" s="19" t="s">
        <v>3</v>
      </c>
      <c r="N7">
        <f t="shared" si="8"/>
        <v>0</v>
      </c>
      <c r="O7" s="2">
        <f t="shared" si="6"/>
        <v>0</v>
      </c>
      <c r="P7" s="25" t="e" vm="1">
        <f>COUNTIF(D:D,N7) &amp; " (" &amp;_xlfn.TEXTJOIN("/",TRUE,X4:X1048576)&amp; ")"</f>
        <v>#VALUE!</v>
      </c>
      <c r="Q7" s="26" t="e" vm="1">
        <f>COUNTIF(E:E,O7)&amp; " (" &amp;_xlfn.TEXTJOIN("/",TRUE,AI4:AI1048576)&amp; ")"</f>
        <v>#VALUE!</v>
      </c>
      <c r="R7" t="str">
        <f t="shared" ref="R7:R12" si="9">IFERROR(IF(N7=O7,"YOURS " &amp;RIGHT(P7,LEN(P7)-FIND("(",P7)+1)&amp;" / MINE " &amp;RIGHT(Q7,LEN(Q7)-FIND("(",Q7)+1),"")&amp;IF(O7-N7&lt;0.6,"VERY TIGHT",""),"")</f>
        <v/>
      </c>
      <c r="U7" s="1"/>
      <c r="W7" s="9"/>
      <c r="X7" s="9"/>
      <c r="Y7" s="10" cm="1">
        <f t="array" ref="Y7">IFERROR(INDEX(A1:A100, SMALL(IF(N4 = D1:D100, ROW(A1:A100) - 3, ""), COLUMN() - 11)), "")</f>
        <v>0</v>
      </c>
      <c r="Z7" s="10"/>
      <c r="AA7" s="10"/>
      <c r="AB7" s="10"/>
      <c r="AC7" s="10"/>
      <c r="AD7" s="15"/>
      <c r="AF7" s="1"/>
      <c r="AH7" s="9"/>
      <c r="AI7" s="9"/>
      <c r="AJ7" s="10" cm="1">
        <f t="array" ref="AJ7">IFERROR(INDEX(A:A,SMALL(IF(D:D=$N13,ROW(D:D)-ROW($D10)+1),ROWS(D:D))),"")</f>
        <v>0</v>
      </c>
      <c r="AP7" s="6" t="e" vm="1">
        <f t="shared" si="7"/>
        <v>#VALUE!</v>
      </c>
    </row>
    <row r="8" spans="1:42" x14ac:dyDescent="0.25">
      <c r="A8" t="s">
        <v>16</v>
      </c>
      <c r="B8" s="36"/>
      <c r="C8" t="str">
        <f t="shared" si="0"/>
        <v/>
      </c>
      <c r="D8" t="str">
        <f t="shared" si="1"/>
        <v/>
      </c>
      <c r="E8" t="str">
        <f t="shared" si="2"/>
        <v/>
      </c>
      <c r="F8" t="str">
        <f t="shared" si="3"/>
        <v/>
      </c>
      <c r="H8" t="str">
        <f t="shared" si="4"/>
        <v/>
      </c>
      <c r="I8" t="str">
        <f t="shared" si="5"/>
        <v/>
      </c>
      <c r="M8" s="57" t="s">
        <v>4</v>
      </c>
      <c r="N8">
        <f t="shared" ref="N8:N9" si="10">_xlfn.MAXIFS(D:D,C:C,M8)</f>
        <v>0</v>
      </c>
      <c r="O8" s="2">
        <f t="shared" ref="O8:O9" si="11">_xlfn.MINIFS(E:E,C:C,M8)</f>
        <v>0</v>
      </c>
      <c r="P8" s="25" t="e" vm="1">
        <f>COUNTIF(D:D,N8) &amp; " (" &amp;_xlfn.TEXTJOIN("/",TRUE,Y4:Y1048576)&amp; ")"</f>
        <v>#VALUE!</v>
      </c>
      <c r="Q8" s="26" t="e" vm="1">
        <f>COUNTIF(E:E,O8) &amp; " (" &amp;_xlfn.TEXTJOIN("/",TRUE,AJ4:AJ1048576)&amp; ")"</f>
        <v>#VALUE!</v>
      </c>
      <c r="R8" t="str">
        <f t="shared" si="9"/>
        <v/>
      </c>
      <c r="U8" s="1"/>
      <c r="W8" s="9"/>
      <c r="X8" s="9"/>
      <c r="Y8" s="10" t="str" cm="1">
        <f t="array" ref="Y8">IFERROR(INDEX(A:A,SMALL(IF(D:D=$N5,ROW(D:D)-ROW($D2)+1),ROWS(D:D))),"")</f>
        <v/>
      </c>
      <c r="AD8" s="2"/>
      <c r="AF8" s="1"/>
      <c r="AH8" s="9"/>
      <c r="AI8" s="9"/>
      <c r="AP8" s="6" t="e" vm="1">
        <f t="shared" si="7"/>
        <v>#VALUE!</v>
      </c>
    </row>
    <row r="9" spans="1:42" x14ac:dyDescent="0.25">
      <c r="A9" t="s">
        <v>22</v>
      </c>
      <c r="B9" s="36"/>
      <c r="C9" t="str">
        <f t="shared" si="0"/>
        <v/>
      </c>
      <c r="D9" t="str">
        <f t="shared" si="1"/>
        <v/>
      </c>
      <c r="E9" t="str">
        <f t="shared" si="2"/>
        <v/>
      </c>
      <c r="F9" t="str">
        <f t="shared" si="3"/>
        <v/>
      </c>
      <c r="H9" t="str">
        <f t="shared" si="4"/>
        <v/>
      </c>
      <c r="I9" t="str">
        <f t="shared" si="5"/>
        <v/>
      </c>
      <c r="M9" s="61" t="s">
        <v>5</v>
      </c>
      <c r="N9">
        <f t="shared" si="10"/>
        <v>0</v>
      </c>
      <c r="O9" s="2">
        <f t="shared" si="11"/>
        <v>0</v>
      </c>
      <c r="P9" s="25" t="e" vm="1">
        <f>COUNTIF(D:D,N9) &amp; " (" &amp;_xlfn.TEXTJOIN("/",TRUE,Z4:Z1048576)&amp; ")"</f>
        <v>#VALUE!</v>
      </c>
      <c r="Q9" s="26" t="e" vm="1">
        <f>COUNTIF(E:E,O9) &amp; " (" &amp;_xlfn.TEXTJOIN("/",TRUE,AK4:AK1048576)&amp; ")"</f>
        <v>#VALUE!</v>
      </c>
      <c r="R9" t="str">
        <f t="shared" si="9"/>
        <v/>
      </c>
      <c r="U9" s="3"/>
      <c r="V9" s="4"/>
      <c r="W9" s="16"/>
      <c r="X9" s="16"/>
      <c r="Y9" s="17" t="str" cm="1">
        <f t="array" ref="Y9">IFERROR(INDEX(A:A,SMALL(IF(D:D=$N6,ROW(D:D)-ROW($D3)+1),ROWS(D:D))),"")</f>
        <v/>
      </c>
      <c r="Z9" s="4"/>
      <c r="AA9" s="4"/>
      <c r="AB9" s="4"/>
      <c r="AC9" s="4"/>
      <c r="AD9" s="5"/>
      <c r="AF9" s="3"/>
      <c r="AG9" s="4"/>
      <c r="AH9" s="16"/>
      <c r="AI9" s="16"/>
      <c r="AJ9" s="4"/>
      <c r="AK9" s="4"/>
      <c r="AL9" s="4"/>
      <c r="AM9" s="4"/>
      <c r="AN9" s="4"/>
      <c r="AO9" s="4"/>
      <c r="AP9" s="6" t="e" vm="1">
        <f t="shared" si="7"/>
        <v>#VALUE!</v>
      </c>
    </row>
    <row r="10" spans="1:42" ht="15.75" customHeight="1" x14ac:dyDescent="0.25">
      <c r="A10" t="s">
        <v>37</v>
      </c>
      <c r="B10" s="36"/>
      <c r="C10" t="str">
        <f t="shared" si="0"/>
        <v/>
      </c>
      <c r="D10" t="str">
        <f t="shared" si="1"/>
        <v/>
      </c>
      <c r="E10" t="str">
        <f t="shared" si="2"/>
        <v/>
      </c>
      <c r="F10" t="str">
        <f t="shared" si="3"/>
        <v/>
      </c>
      <c r="H10" t="str">
        <f t="shared" si="4"/>
        <v/>
      </c>
      <c r="I10" t="str">
        <f t="shared" si="5"/>
        <v/>
      </c>
      <c r="M10" s="62" t="s">
        <v>6</v>
      </c>
      <c r="N10">
        <f t="shared" ref="N10:N11" si="12">_xlfn.MAXIFS(D:D,C:C,M10)</f>
        <v>0</v>
      </c>
      <c r="O10" s="2">
        <f t="shared" ref="O10:O12" si="13">_xlfn.MINIFS(E:E,C:C,M10)</f>
        <v>0</v>
      </c>
      <c r="P10" s="25" t="e" vm="1">
        <f>COUNTIF(D:D,N10) &amp; " (" &amp;_xlfn.TEXTJOIN("/",TRUE,AA4:AA1048576)&amp; ")"</f>
        <v>#VALUE!</v>
      </c>
      <c r="Q10" s="26" t="e" vm="1">
        <f>COUNTIF(E:E,O10) &amp; " (" &amp;_xlfn.TEXTJOIN("/",TRUE,AL4:AL1048576)&amp; ")"</f>
        <v>#VALUE!</v>
      </c>
      <c r="R10" t="str">
        <f t="shared" si="9"/>
        <v/>
      </c>
      <c r="AP10" s="6" t="e" vm="1">
        <f t="shared" si="7"/>
        <v>#VALUE!</v>
      </c>
    </row>
    <row r="11" spans="1:42" x14ac:dyDescent="0.25">
      <c r="A11" t="s">
        <v>16</v>
      </c>
      <c r="B11" s="36"/>
      <c r="C11" t="str">
        <f t="shared" ref="C11:C41" si="14">IF(B11="","",SUBSTITUTE(LEFT(B11,FIND(" ",B11)-1),"-",""))</f>
        <v/>
      </c>
      <c r="D11" t="str">
        <f t="shared" ref="D11:D28" si="15">IF(B11="","",IFERROR(IFERROR(VALUE(SUBSTITUTE(MID(B11,FIND(" ",B11),FIND("/",B11)-FIND(" ",B11))," ","")),IF(FIND("B",UPPER(B11)),VALUE(MID(B11,FIND(" ",B11),FIND("B",UPPER(B11))-FIND(" ",B11))),"")),""))</f>
        <v/>
      </c>
      <c r="E11" t="str">
        <f t="shared" ref="E11:E28" si="16">IF(B11="","",IFERROR(IFERROR(VALUE(SUBSTITUTE(RIGHT(B11,LEN(B11)-FIND("/",B11))," ","")),IF(FIND("O",UPPER(B11)),VALUE(MID(B11,FIND(" ",B11),FIND("O",UPPER(B11))-FIND(" ",B11))),"")),""))</f>
        <v/>
      </c>
      <c r="F11" t="str">
        <f t="shared" ref="F11:F13" si="17">IF(B11="","",IF(F10="",IF(F9="","",F9),F10))</f>
        <v/>
      </c>
      <c r="H11" t="str">
        <f t="shared" ref="H11:H13" si="18">IFERROR(IF(B11="","",IF(D11=INDEX(N:N,MATCH(C11,M:M,0)),"",INDEX(N:N,MATCH(C11,M:M,0))&amp; " bid")&amp;IF(E11=INDEX(O:O,MATCH(C11,M:M,0)),"",IF(D11=INDEX(N:N,MATCH(C11,M:M,0)),INDEX(O:O,MATCH(C11,M:M,0))&amp;" offer"," / "&amp;INDEX(O:O,MATCH(C11,M:M,0))&amp;" offer"))),"")</f>
        <v/>
      </c>
      <c r="I11" t="str">
        <f>IF(B11="","",IF(H11="",B11,B11&amp;" -&gt; "&amp;H11))</f>
        <v/>
      </c>
      <c r="M11" s="61" t="s">
        <v>7</v>
      </c>
      <c r="N11">
        <f t="shared" si="12"/>
        <v>0</v>
      </c>
      <c r="O11" s="2">
        <f t="shared" si="13"/>
        <v>0</v>
      </c>
      <c r="P11" s="25" t="e" vm="1">
        <f>COUNTIF(D:D,N11) &amp; " (" &amp;_xlfn.TEXTJOIN("/",TRUE,AB4:AB1048576)&amp; ")"</f>
        <v>#VALUE!</v>
      </c>
      <c r="Q11" s="26" t="e" vm="1">
        <f>COUNTIF(E:E,O11) &amp; " (" &amp;_xlfn.TEXTJOIN("/",TRUE,AM4:AM1048576)&amp; ")"</f>
        <v>#VALUE!</v>
      </c>
      <c r="R11" t="str">
        <f t="shared" si="9"/>
        <v/>
      </c>
      <c r="AP11" s="6"/>
    </row>
    <row r="12" spans="1:42" x14ac:dyDescent="0.25">
      <c r="A12" t="s">
        <v>16</v>
      </c>
      <c r="B12" s="36"/>
      <c r="C12" t="str">
        <f t="shared" si="14"/>
        <v/>
      </c>
      <c r="D12" t="str">
        <f t="shared" si="15"/>
        <v/>
      </c>
      <c r="E12" t="str">
        <f t="shared" si="16"/>
        <v/>
      </c>
      <c r="F12" t="str">
        <f t="shared" si="17"/>
        <v/>
      </c>
      <c r="H12" t="str">
        <f t="shared" si="18"/>
        <v/>
      </c>
      <c r="I12" t="str">
        <f t="shared" ref="I12:I13" si="19">IF(B12="","",IF(H12="",B12,B12&amp;" -&gt; "&amp;H12))</f>
        <v/>
      </c>
      <c r="M12" s="61" t="s">
        <v>8</v>
      </c>
      <c r="N12">
        <f>_xlfn.MAXIFS(D:D,C:C,M12)</f>
        <v>0</v>
      </c>
      <c r="O12" s="2">
        <f t="shared" si="13"/>
        <v>0</v>
      </c>
      <c r="P12" s="25" t="e" vm="1">
        <f>COUNTIF(D:D,N12) &amp; " (" &amp;_xlfn.TEXTJOIN("/",TRUE,AC4:AC1048576)&amp; ")"</f>
        <v>#VALUE!</v>
      </c>
      <c r="Q12" s="26" t="e" vm="1">
        <f>COUNTIF(E:E,O12) &amp; " (" &amp;_xlfn.TEXTJOIN("/",TRUE,AN4:AN1048576)&amp; ")"</f>
        <v>#VALUE!</v>
      </c>
      <c r="R12" t="str">
        <f t="shared" si="9"/>
        <v/>
      </c>
      <c r="AP12" s="7"/>
    </row>
    <row r="13" spans="1:42" x14ac:dyDescent="0.25">
      <c r="A13" t="s">
        <v>16</v>
      </c>
      <c r="B13" s="36"/>
      <c r="C13" t="str">
        <f t="shared" si="14"/>
        <v/>
      </c>
      <c r="D13" t="str">
        <f t="shared" si="15"/>
        <v/>
      </c>
      <c r="E13" t="str">
        <f t="shared" si="16"/>
        <v/>
      </c>
      <c r="F13" t="str">
        <f t="shared" si="17"/>
        <v/>
      </c>
      <c r="H13" t="str">
        <f t="shared" si="18"/>
        <v/>
      </c>
      <c r="I13" t="str">
        <f t="shared" si="19"/>
        <v/>
      </c>
      <c r="M13" s="31"/>
      <c r="N13" s="4"/>
      <c r="O13" s="5"/>
      <c r="P13" s="27"/>
      <c r="Q13" s="28"/>
    </row>
    <row r="14" spans="1:42" x14ac:dyDescent="0.25">
      <c r="C14" s="36"/>
      <c r="H14" t="str">
        <f>IFERROR(IF(B14="","",IF(D14=INDEX(N:N,MATCH(C14,M:M,0)),"you are best bid "&amp;IF(INDEX(P:P,MATCH(C14,M:M,0))-1=0,"","("&amp;INDEX(P:P,MATCH(C14,M:M,0))-1&amp;" with you)"),INDEX(N:N,MATCH(C14,M:M,0))&amp; " bid")&amp;" / "&amp;IF(E14=INDEX(O:O,MATCH(C14,M:M,0)),"you are best offer "&amp;IF(INDEX(Q:Q,MATCH(C14,M:M,0))-1=0,"","("&amp;INDEX(Q:Q,MATCH(C14,M:M,0))-1&amp;" with you)"),INDEX(O:O,MATCH(C14,M:M,0))&amp;" offer")),"")</f>
        <v/>
      </c>
    </row>
    <row r="15" spans="1:42" x14ac:dyDescent="0.25">
      <c r="C15" s="37" t="str">
        <f t="shared" si="14"/>
        <v/>
      </c>
      <c r="D15" s="37"/>
      <c r="E15" s="37"/>
      <c r="F15" s="37"/>
      <c r="G15" s="37"/>
      <c r="H15" s="38"/>
      <c r="I15" s="39" t="str">
        <f xml:space="preserve"> "Your feedback Philippe"</f>
        <v>Your feedback Philippe</v>
      </c>
      <c r="J15" s="8" t="str">
        <f>"Send to "&amp;A16 &amp; " V2 report"</f>
        <v>Send to BNP V2 report</v>
      </c>
    </row>
    <row r="16" spans="1:42" x14ac:dyDescent="0.25">
      <c r="A16" s="32" t="s">
        <v>16</v>
      </c>
      <c r="B16" s="32"/>
      <c r="C16" s="40" t="str">
        <f t="shared" si="14"/>
        <v/>
      </c>
      <c r="D16" s="40" t="str">
        <f t="shared" ref="D16:D26" si="20">IF(B16="","",IFERROR(IFERROR(VALUE(SUBSTITUTE(MID(B16,FIND(" ",B16),FIND("/",B16)-FIND(" ",B16))," ","")),IF(FIND("B",UPPER(B16)),VALUE(MID(B16,FIND(" ",B16),FIND("B",UPPER(B16))-FIND(" ",B16))),"")),""))</f>
        <v/>
      </c>
      <c r="E16" s="40" t="str">
        <f t="shared" ref="E16:E26" si="21">IF(B16="","",IFERROR(IFERROR(VALUE(SUBSTITUTE(RIGHT(B16,LEN(B16)-FIND("/",B16))," ","")),IF(FIND("O",UPPER(B16)),VALUE(MID(B16,FIND(" ",B16),FIND("O",UPPER(B16))-FIND(" ",B16))),"")),""))</f>
        <v/>
      </c>
      <c r="F16" s="41" t="str">
        <f>IF(B16="","",VALUE(SUBSTITUTE(SUBSTITUTE(SUBSTITUTE(SUBSTITUTE(RIGHT(B16,LEN(B16)-FIND("vs",B16)+1),"basis",""),"vs","")," ",""),":","")))</f>
        <v/>
      </c>
      <c r="G16" s="42" t="s">
        <v>13</v>
      </c>
      <c r="H16" s="43" t="s">
        <v>14</v>
      </c>
      <c r="I16" s="6">
        <f>B16</f>
        <v>0</v>
      </c>
      <c r="J16" s="6">
        <f>B16</f>
        <v>0</v>
      </c>
      <c r="M16" s="24" t="str">
        <f>"Tightest CAC TRF vs " &amp;IF(IF(IF(IF(F30="",F16,F30)="",F44,IF(F30="",F16,F30))="",F59,IF(IF(F30="",F16,F30)="",F44,IF(F30="",F16,F30)))="",F74,IF(IF(IF(F30="",F16,F30)="",F44,IF(F30="",F16,F30))="",F59,IF(IF(F30="",F16,F30)="",F44,IF(F30="",F16,F30))))</f>
        <v xml:space="preserve">Tightest CAC TRF vs </v>
      </c>
      <c r="AP16" s="20" t="s">
        <v>51</v>
      </c>
    </row>
    <row r="17" spans="1:42" x14ac:dyDescent="0.25">
      <c r="A17" t="str">
        <f t="shared" ref="A17:A27" si="22">IF(B17="","",IF(A16="",IF(A15="","",A15),A16))</f>
        <v/>
      </c>
      <c r="C17" s="36" t="str">
        <f t="shared" si="14"/>
        <v/>
      </c>
      <c r="D17" t="str">
        <f t="shared" si="20"/>
        <v/>
      </c>
      <c r="E17" t="str">
        <f t="shared" si="21"/>
        <v/>
      </c>
      <c r="F17" s="2" t="str">
        <f t="shared" ref="F17:F27" si="23">IF(B17="","",IF(F16="",IF(F15="","",F15),F16))</f>
        <v/>
      </c>
      <c r="H17" s="44" t="str">
        <f t="shared" ref="H17:H27" si="24">IFERROR(IF(B17="","",IF(D17=INDEX(N:N,MATCH(C17,M:M,0)),"",INDEX(N:N,MATCH(C17,M:M,0))&amp; " bid")&amp;IF(E17=INDEX(O:O,MATCH(C17,M:M,0)),"",IF(D17=INDEX(N:N,MATCH(C17,M:M,0)),INDEX(O:O,MATCH(C17,M:M,0))&amp;" offer"," / "&amp;INDEX(O:O,MATCH(C17,M:M,0))&amp;" offer"))),"")</f>
        <v/>
      </c>
      <c r="I17" s="6" t="str">
        <f t="shared" ref="I17" si="25">IF(A17="JP",IF(B17="","",IF(H17="",B17,B17&amp;" -&gt; "&amp;H17)),IF(B17="","",IF(G17="",B17,B17&amp;" -&gt; "&amp;G17)))</f>
        <v/>
      </c>
      <c r="J17" s="6"/>
      <c r="M17" s="22" t="str">
        <f>IF(P3&lt;&gt;"",M3&amp;" "&amp;N3&amp;IF(_xlfn.MAXIFS(D:D,C:C,M3)&lt;&gt;_xlfn.MINIFS(D:D,C:C,M3),"*","")&amp;" / "&amp;O3&amp;IF(_xlfn.MAXIFS(E:E,C:C,M3)&lt;&gt;_xlfn.MINIFS(E:E,C:C,M3),"*",""),"")</f>
        <v/>
      </c>
      <c r="N17" t="str">
        <f>IF(M17&lt;&gt;"","{FR} "&amp; SUBSTITUTE(SUBSTITUTE($M$16,"Tightest ",""),"run ","") &amp; " " &amp;M17&amp; "  {g!}","")</f>
        <v/>
      </c>
      <c r="AP17" t="str">
        <f>"{FR} CAC TRF spread "&amp;$M$4&amp;" fixed at " &amp;AVERAGE($N$4:$O$4) &amp;" vs "&amp;M19</f>
        <v>{FR} CAC TRF spread Dec23 fixed at 0 vs Dec24 0 / 0</v>
      </c>
    </row>
    <row r="18" spans="1:42" x14ac:dyDescent="0.25">
      <c r="A18" t="str">
        <f t="shared" si="22"/>
        <v/>
      </c>
      <c r="B18" s="34"/>
      <c r="C18" s="36" t="str">
        <f t="shared" ref="C18:C26" si="26">IF(B18="","",SUBSTITUTE(SUBSTITUTE(LEFT(B18,FIND(" ",B18)-1),"-",""),":",""))</f>
        <v/>
      </c>
      <c r="D18" t="str">
        <f t="shared" si="20"/>
        <v/>
      </c>
      <c r="E18" t="str">
        <f t="shared" si="21"/>
        <v/>
      </c>
      <c r="F18" s="2" t="str">
        <f t="shared" si="23"/>
        <v/>
      </c>
      <c r="G18" s="6" t="str">
        <f t="shared" ref="G18:G27" si="27">IFERROR(IF(B18="","",IF(D18=INDEX(N:N,MATCH(C18,M:M,0)),"best bid "&amp;IF(LEFT(INDEX(P:P,MATCH(C18,M:M,0)),1)-1=0,"","("&amp;LEFT(INDEX(P:P,MATCH(C18,M:M,0)),1)-1&amp;" with you)"),INDEX(N:N,MATCH(C18,M:M,0))&amp; " bid")&amp;" / "&amp;IF(E18=INDEX(O:O,MATCH(C18,M:M,0)),"best offer "&amp;IF(LEFT(INDEX(Q:Q,MATCH(C18,M:M,0)),1)-1=0,"","("&amp;LEFT(INDEX(Q:Q,MATCH(C18,M:M,0)),1)-1&amp;" with you)"),INDEX(O:O,MATCH(C18,M:M,0))&amp;" offer")),"")</f>
        <v/>
      </c>
      <c r="H18" s="1" t="str">
        <f t="shared" si="24"/>
        <v/>
      </c>
      <c r="I18" s="6" t="str">
        <f t="shared" ref="I18:I25" si="28">IF(B18="","",IF(H18="",B18,LEFT(B18,FIND(" ",B18))&amp;IFERROR(IF(SEARCH("bid",H18)&gt;0,VLOOKUP(C18,$M$3:$O$11,2,FALSE)&amp;"*",""),D18)&amp;"/"&amp;IFERROR(IF(SEARCH("offer",H18)&gt;0,VLOOKUP(C18,$M$3:$O$11,3,FALSE)&amp;"*",""),E18)))</f>
        <v/>
      </c>
      <c r="J18" s="6" t="str">
        <f t="shared" ref="J18:J27" si="29">IF(A18&lt;&gt;"JP",IF(B18="","",IF(H18="",B18,B18&amp;" -&gt; "&amp;H18)),IF(B18="","",IF(G18="",B18,B18&amp;" -&gt; "&amp;G18)))</f>
        <v/>
      </c>
      <c r="M18" s="22" t="str">
        <f t="shared" ref="M18" si="30">M4&amp;" "&amp;N4&amp;IF(_xlfn.MAXIFS(D:D,C:C,M4)&lt;&gt;_xlfn.MINIFS(D:D,C:C,M4),"*","")&amp;" / "&amp;O4&amp;IF(_xlfn.MAXIFS(E:E,C:C,M4)&lt;&gt;_xlfn.MINIFS(E:E,C:C,M4),"*","")</f>
        <v>Dec23 0 / 0</v>
      </c>
      <c r="N18" t="str">
        <f t="shared" ref="N18:N26" si="31">IF(M18&lt;&gt;"","{FR} "&amp; SUBSTITUTE(SUBSTITUTE($M$16,"Tightest ",""),"run ","") &amp; " " &amp;M18&amp; IF(O4-N4&lt;=1,"  {g!}",""),"")</f>
        <v>{FR} CAC TRF vs  Dec23 0 / 0  {g!}</v>
      </c>
      <c r="AP18" t="str">
        <f>"{FR} CAC TRF spread "&amp;$M$4&amp;" fixed at " &amp;AVERAGE($N$4:$O$4) &amp;" vs "&amp;M20</f>
        <v>{FR} CAC TRF spread Dec23 fixed at 0 vs Dec25 0 / 0</v>
      </c>
    </row>
    <row r="19" spans="1:42" x14ac:dyDescent="0.25">
      <c r="A19" t="str">
        <f t="shared" si="22"/>
        <v/>
      </c>
      <c r="B19" s="34"/>
      <c r="C19" s="36" t="str">
        <f t="shared" si="26"/>
        <v/>
      </c>
      <c r="D19" t="str">
        <f t="shared" si="20"/>
        <v/>
      </c>
      <c r="E19" t="str">
        <f t="shared" si="21"/>
        <v/>
      </c>
      <c r="F19" s="2" t="str">
        <f t="shared" si="23"/>
        <v/>
      </c>
      <c r="G19" s="6" t="str">
        <f t="shared" si="27"/>
        <v/>
      </c>
      <c r="H19" s="1" t="str">
        <f t="shared" si="24"/>
        <v/>
      </c>
      <c r="I19" s="6" t="str">
        <f t="shared" si="28"/>
        <v/>
      </c>
      <c r="J19" s="6" t="str">
        <f t="shared" si="29"/>
        <v/>
      </c>
      <c r="M19" s="22" t="str">
        <f>M5&amp;" "&amp;N5&amp;IF(_xlfn.MAXIFS(D:D,C:C,M5)&lt;&gt;_xlfn.MINIFS(D:D,C:C,M5),"*","")&amp;" / "&amp;O5&amp;IF(_xlfn.MAXIFS(E:E,C:C,M5)&lt;&gt;_xlfn.MINIFS(E:E,C:C,M5),"*","")</f>
        <v>Dec24 0 / 0</v>
      </c>
      <c r="N19" t="str">
        <f t="shared" si="31"/>
        <v>{FR} CAC TRF vs  Dec24 0 / 0  {g!}</v>
      </c>
      <c r="AP19" t="str">
        <f>"{FR} CAC TRF spread "&amp;$M$4&amp;" fixed at " &amp;AVERAGE($N$4:$O$4) &amp;" vs "&amp;M21</f>
        <v>{FR} CAC TRF spread Dec23 fixed at 0 vs Dec26 0 / 0</v>
      </c>
    </row>
    <row r="20" spans="1:42" x14ac:dyDescent="0.25">
      <c r="A20" t="str">
        <f t="shared" si="22"/>
        <v/>
      </c>
      <c r="B20" s="34"/>
      <c r="C20" s="36" t="str">
        <f t="shared" si="26"/>
        <v/>
      </c>
      <c r="D20" t="str">
        <f t="shared" si="20"/>
        <v/>
      </c>
      <c r="E20" t="str">
        <f t="shared" si="21"/>
        <v/>
      </c>
      <c r="F20" s="2" t="str">
        <f t="shared" si="23"/>
        <v/>
      </c>
      <c r="G20" s="6" t="str">
        <f t="shared" si="27"/>
        <v/>
      </c>
      <c r="H20" s="1" t="str">
        <f t="shared" si="24"/>
        <v/>
      </c>
      <c r="I20" s="6" t="str">
        <f t="shared" si="28"/>
        <v/>
      </c>
      <c r="J20" s="6" t="str">
        <f t="shared" si="29"/>
        <v/>
      </c>
      <c r="M20" s="22" t="str">
        <f t="shared" ref="M20:M26" si="32">M6&amp;" "&amp;N6&amp;IF(_xlfn.MAXIFS(D:D,C:C,M6)&lt;&gt;_xlfn.MINIFS(D:D,C:C,M6),"*","")&amp;" / "&amp;O6&amp;IF(_xlfn.MAXIFS(E:E,C:C,M6)&lt;&gt;_xlfn.MINIFS(E:E,C:C,M6),"*","")</f>
        <v>Dec25 0 / 0</v>
      </c>
      <c r="N20" t="str">
        <f t="shared" si="31"/>
        <v>{FR} CAC TRF vs  Dec25 0 / 0  {g!}</v>
      </c>
      <c r="R20">
        <v>1234</v>
      </c>
      <c r="X20" s="10"/>
      <c r="Y20" s="10"/>
      <c r="Z20" s="10"/>
      <c r="AA20" s="10"/>
      <c r="AB20" s="10"/>
      <c r="AC20" s="10"/>
      <c r="AP20" t="str">
        <f>"{FR} CAC TRF spread "&amp;$M$6&amp;" fixed at " &amp;AVERAGE($N$6:$O$6) &amp;" vs "&amp;M21</f>
        <v>{FR} CAC TRF spread Dec25 fixed at 0 vs Dec26 0 / 0</v>
      </c>
    </row>
    <row r="21" spans="1:42" x14ac:dyDescent="0.25">
      <c r="A21" t="str">
        <f t="shared" si="22"/>
        <v/>
      </c>
      <c r="B21" s="34"/>
      <c r="C21" s="36" t="str">
        <f t="shared" si="26"/>
        <v/>
      </c>
      <c r="D21" t="str">
        <f t="shared" si="20"/>
        <v/>
      </c>
      <c r="E21" t="str">
        <f t="shared" si="21"/>
        <v/>
      </c>
      <c r="F21" s="2" t="str">
        <f t="shared" si="23"/>
        <v/>
      </c>
      <c r="G21" s="6" t="str">
        <f t="shared" si="27"/>
        <v/>
      </c>
      <c r="H21" s="1" t="str">
        <f t="shared" si="24"/>
        <v/>
      </c>
      <c r="I21" s="6" t="str">
        <f t="shared" si="28"/>
        <v/>
      </c>
      <c r="J21" s="6" t="str">
        <f t="shared" si="29"/>
        <v/>
      </c>
      <c r="M21" s="22" t="str">
        <f t="shared" si="32"/>
        <v>Dec26 0 / 0</v>
      </c>
      <c r="N21" t="str">
        <f t="shared" si="31"/>
        <v>{FR} CAC TRF vs  Dec26 0 / 0  {g!}</v>
      </c>
    </row>
    <row r="22" spans="1:42" x14ac:dyDescent="0.25">
      <c r="A22" t="str">
        <f t="shared" si="22"/>
        <v/>
      </c>
      <c r="B22" s="34"/>
      <c r="C22" s="36" t="str">
        <f t="shared" si="26"/>
        <v/>
      </c>
      <c r="D22" t="str">
        <f t="shared" si="20"/>
        <v/>
      </c>
      <c r="E22" t="str">
        <f t="shared" si="21"/>
        <v/>
      </c>
      <c r="F22" s="2" t="str">
        <f t="shared" si="23"/>
        <v/>
      </c>
      <c r="G22" s="6" t="str">
        <f t="shared" si="27"/>
        <v/>
      </c>
      <c r="H22" s="1" t="str">
        <f t="shared" si="24"/>
        <v/>
      </c>
      <c r="I22" s="6" t="str">
        <f t="shared" si="28"/>
        <v/>
      </c>
      <c r="J22" s="6" t="str">
        <f t="shared" si="29"/>
        <v/>
      </c>
      <c r="M22" s="22" t="str">
        <f t="shared" si="32"/>
        <v>Dec27 0 / 0</v>
      </c>
      <c r="N22" t="str">
        <f t="shared" si="31"/>
        <v>{FR} CAC TRF vs  Dec27 0 / 0  {g!}</v>
      </c>
    </row>
    <row r="23" spans="1:42" x14ac:dyDescent="0.25">
      <c r="A23" t="str">
        <f t="shared" si="22"/>
        <v/>
      </c>
      <c r="B23" s="34"/>
      <c r="C23" s="36" t="str">
        <f t="shared" si="26"/>
        <v/>
      </c>
      <c r="D23" t="str">
        <f t="shared" si="20"/>
        <v/>
      </c>
      <c r="E23" t="str">
        <f t="shared" si="21"/>
        <v/>
      </c>
      <c r="F23" s="2" t="str">
        <f t="shared" si="23"/>
        <v/>
      </c>
      <c r="G23" s="6" t="str">
        <f t="shared" si="27"/>
        <v/>
      </c>
      <c r="H23" s="1" t="str">
        <f t="shared" si="24"/>
        <v/>
      </c>
      <c r="I23" s="6" t="str">
        <f t="shared" si="28"/>
        <v/>
      </c>
      <c r="J23" s="6" t="str">
        <f t="shared" si="29"/>
        <v/>
      </c>
      <c r="M23" s="22" t="str">
        <f t="shared" si="32"/>
        <v>Dec28 0 / 0</v>
      </c>
      <c r="N23" t="str">
        <f t="shared" si="31"/>
        <v>{FR} CAC TRF vs  Dec28 0 / 0  {g!}</v>
      </c>
    </row>
    <row r="24" spans="1:42" x14ac:dyDescent="0.25">
      <c r="A24" t="str">
        <f t="shared" si="22"/>
        <v/>
      </c>
      <c r="B24" s="34"/>
      <c r="C24" s="36" t="str">
        <f t="shared" si="26"/>
        <v/>
      </c>
      <c r="D24" t="str">
        <f t="shared" si="20"/>
        <v/>
      </c>
      <c r="E24" t="str">
        <f t="shared" si="21"/>
        <v/>
      </c>
      <c r="F24" s="2" t="str">
        <f t="shared" si="23"/>
        <v/>
      </c>
      <c r="G24" s="6" t="str">
        <f t="shared" si="27"/>
        <v/>
      </c>
      <c r="H24" s="1" t="str">
        <f t="shared" si="24"/>
        <v/>
      </c>
      <c r="I24" s="6" t="str">
        <f t="shared" si="28"/>
        <v/>
      </c>
      <c r="J24" s="6" t="str">
        <f t="shared" si="29"/>
        <v/>
      </c>
      <c r="M24" s="22" t="str">
        <f t="shared" si="32"/>
        <v>Dec29 0 / 0</v>
      </c>
      <c r="N24" t="str">
        <f t="shared" si="31"/>
        <v>{FR} CAC TRF vs  Dec29 0 / 0  {g!}</v>
      </c>
    </row>
    <row r="25" spans="1:42" x14ac:dyDescent="0.25">
      <c r="A25" t="str">
        <f t="shared" si="22"/>
        <v/>
      </c>
      <c r="B25" s="34"/>
      <c r="C25" s="36" t="str">
        <f t="shared" si="26"/>
        <v/>
      </c>
      <c r="D25" t="str">
        <f t="shared" si="20"/>
        <v/>
      </c>
      <c r="E25" t="str">
        <f t="shared" si="21"/>
        <v/>
      </c>
      <c r="F25" s="2" t="str">
        <f t="shared" si="23"/>
        <v/>
      </c>
      <c r="G25" s="6" t="str">
        <f t="shared" si="27"/>
        <v/>
      </c>
      <c r="H25" s="1" t="str">
        <f t="shared" si="24"/>
        <v/>
      </c>
      <c r="I25" s="6" t="str">
        <f t="shared" si="28"/>
        <v/>
      </c>
      <c r="J25" s="6" t="str">
        <f t="shared" si="29"/>
        <v/>
      </c>
      <c r="M25" s="22" t="str">
        <f t="shared" si="32"/>
        <v>Dec30 0 / 0</v>
      </c>
      <c r="N25" t="str">
        <f t="shared" si="31"/>
        <v>{FR} CAC TRF vs  Dec30 0 / 0  {g!}</v>
      </c>
    </row>
    <row r="26" spans="1:42" x14ac:dyDescent="0.25">
      <c r="A26" t="str">
        <f t="shared" si="22"/>
        <v/>
      </c>
      <c r="B26" s="34"/>
      <c r="C26" s="36" t="str">
        <f t="shared" si="26"/>
        <v/>
      </c>
      <c r="D26" t="str">
        <f t="shared" si="20"/>
        <v/>
      </c>
      <c r="E26" t="str">
        <f t="shared" si="21"/>
        <v/>
      </c>
      <c r="F26" s="2" t="str">
        <f t="shared" si="23"/>
        <v/>
      </c>
      <c r="G26" s="6" t="str">
        <f t="shared" si="27"/>
        <v/>
      </c>
      <c r="H26" s="1" t="str">
        <f t="shared" si="24"/>
        <v/>
      </c>
      <c r="I26" s="79" t="str">
        <f>IF(A26="BNP",IF(B26="","",IF(H26="",B26,B26&amp;" -&gt; "&amp;H26)),IF(B26="","",IF(G26="",B26,B26&amp;" -&gt; "&amp;G26)))&amp;IF(B26="","Not in your run:","")</f>
        <v>Not in your run:</v>
      </c>
      <c r="J26" s="6" t="str">
        <f t="shared" si="29"/>
        <v/>
      </c>
      <c r="M26" s="22" t="str">
        <f t="shared" si="32"/>
        <v>Dec31 0 / 0</v>
      </c>
      <c r="N26" t="str">
        <f t="shared" si="31"/>
        <v>{FR} CAC TRF vs  Dec31 0 / 0  {g!}</v>
      </c>
    </row>
    <row r="27" spans="1:42" x14ac:dyDescent="0.25">
      <c r="A27" s="3" t="str">
        <f t="shared" si="22"/>
        <v/>
      </c>
      <c r="B27" s="34"/>
      <c r="C27" s="37" t="str">
        <f t="shared" si="14"/>
        <v/>
      </c>
      <c r="D27" s="4" t="str">
        <f t="shared" si="15"/>
        <v/>
      </c>
      <c r="E27" s="4" t="str">
        <f t="shared" si="16"/>
        <v/>
      </c>
      <c r="F27" s="5" t="str">
        <f t="shared" si="23"/>
        <v/>
      </c>
      <c r="G27" s="7" t="str">
        <f t="shared" si="27"/>
        <v/>
      </c>
      <c r="H27" s="3" t="str">
        <f t="shared" si="24"/>
        <v/>
      </c>
      <c r="I27" s="7" t="str">
        <f>IF(B27="",M3&amp;" "&amp;N3&amp; " / " &amp; O3)</f>
        <v xml:space="preserve">  / </v>
      </c>
      <c r="J27" s="7" t="str">
        <f t="shared" si="29"/>
        <v/>
      </c>
      <c r="M27" s="23"/>
    </row>
    <row r="28" spans="1:42" x14ac:dyDescent="0.25">
      <c r="C28" s="36" t="str">
        <f t="shared" si="14"/>
        <v/>
      </c>
      <c r="D28" t="str">
        <f t="shared" si="15"/>
        <v/>
      </c>
      <c r="E28" t="str">
        <f t="shared" si="16"/>
        <v/>
      </c>
      <c r="H28" t="str">
        <f>IFERROR(IF(B28="","",IF(D28=INDEX(N:N,MATCH(C28,M:M,0)),"you are best bid "&amp;IF(INDEX(P:P,MATCH(C28,M:M,0))-1=0,"","("&amp;INDEX(P:P,MATCH(C28,M:M,0))-1&amp;" with you)"),INDEX(N:N,MATCH(C28,M:M,0))&amp; " bid")&amp;" / "&amp;IF(E28=INDEX(O:O,MATCH(C28,M:M,0)),"you are best offer "&amp;IF(INDEX(Q:Q,MATCH(C28,M:M,0))-1=0,"","("&amp;INDEX(Q:Q,MATCH(C28,M:M,0))-1&amp;" with you)"),INDEX(O:O,MATCH(C28,M:M,0))&amp;" offer")),"")</f>
        <v/>
      </c>
      <c r="I28" t="str">
        <f>IFERROR(IF(H28="","",C28&amp;" "&amp;INDEX(N:N,MATCH(C28,M:M,0))&amp;" / "&amp;INDEX(O:O,MATCH(C28,M:M,0))&amp;" : "&amp;H28),B28)</f>
        <v/>
      </c>
    </row>
    <row r="29" spans="1:42" x14ac:dyDescent="0.25">
      <c r="C29" s="37" t="str">
        <f t="shared" si="14"/>
        <v/>
      </c>
      <c r="D29" s="37"/>
      <c r="E29" s="37"/>
      <c r="F29" s="37"/>
      <c r="G29" s="37"/>
      <c r="H29" s="38"/>
      <c r="I29" s="39" t="str">
        <f xml:space="preserve"> "Your feedback Tomasz"</f>
        <v>Your feedback Tomasz</v>
      </c>
      <c r="J29" s="8" t="str">
        <f>"Send to "&amp;A30 &amp; " V2 report"</f>
        <v>Send to JP V2 report</v>
      </c>
    </row>
    <row r="30" spans="1:42" x14ac:dyDescent="0.25">
      <c r="A30" s="32" t="s">
        <v>17</v>
      </c>
      <c r="B30" s="33"/>
      <c r="C30" s="40" t="str">
        <f t="shared" si="14"/>
        <v/>
      </c>
      <c r="D30" s="40" t="str">
        <f t="shared" ref="D30:D40" si="33">IF(B30="","",IFERROR(IFERROR(VALUE(SUBSTITUTE(MID(B30,FIND(" ",B30),FIND("/",B30)-FIND(" ",B30))," ","")),IF(FIND("B",UPPER(B30)),VALUE(MID(B30,FIND(" ",B30),FIND("B",UPPER(B30))-FIND(" ",B30))),"")),""))</f>
        <v/>
      </c>
      <c r="E30" s="40" t="str">
        <f t="shared" ref="E30:E41" si="34">IF(B30="","",IFERROR(IFERROR(VALUE(SUBSTITUTE(RIGHT(B30,LEN(B30)-FIND("/",B30))," ","")),IF(FIND("O",UPPER(B30)),VALUE(MID(B30,FIND(" ",B30),FIND("O",UPPER(B30))-FIND(" ",B30))),"")),""))</f>
        <v/>
      </c>
      <c r="F30" s="41" t="str">
        <f>IF(B30="","",VALUE(SUBSTITUTE(SUBSTITUTE(SUBSTITUTE(SUBSTITUTE(RIGHT(B30,LEN(B30)-FIND("vs",B30)+1),"basis",""),"vs","")," ",""),":","")))</f>
        <v/>
      </c>
      <c r="G30" s="42" t="s">
        <v>13</v>
      </c>
      <c r="H30" s="43" t="s">
        <v>14</v>
      </c>
      <c r="I30" s="6">
        <f>B30</f>
        <v>0</v>
      </c>
      <c r="J30" s="6">
        <f>B30</f>
        <v>0</v>
      </c>
    </row>
    <row r="31" spans="1:42" ht="15" customHeight="1" x14ac:dyDescent="0.25">
      <c r="A31" t="str">
        <f>IF(B31="","",IF(A30="",IF(A29="","",A29),A30))</f>
        <v/>
      </c>
      <c r="C31" s="36" t="str">
        <f t="shared" si="14"/>
        <v/>
      </c>
      <c r="D31" t="str">
        <f t="shared" si="33"/>
        <v/>
      </c>
      <c r="E31" t="str">
        <f t="shared" si="34"/>
        <v/>
      </c>
      <c r="F31" s="2" t="str">
        <f t="shared" ref="F31:F41" si="35">IF(B31="","",IF(F30="",IF(F29="","",F29),F30))</f>
        <v/>
      </c>
      <c r="H31" s="44" t="str">
        <f t="shared" ref="H31:H40" si="36">IFERROR(IF(B31="","",IF(D31=INDEX(N:N,MATCH(C31,M:M,0)),"",INDEX(N:N,MATCH(C31,M:M,0))&amp; " bid")&amp;IF(E31=INDEX(O:O,MATCH(C31,M:M,0)),"",IF(D31=INDEX(N:N,MATCH(C31,M:M,0)),INDEX(O:O,MATCH(C31,M:M,0))&amp;" offer"," / "&amp;INDEX(O:O,MATCH(C31,M:M,0))&amp;" offer"))),"")</f>
        <v/>
      </c>
      <c r="I31" s="6" t="str">
        <f>IF(A31="JP",IF(B31="","",IF(H31="",B31,B31&amp;" -&gt; "&amp;H31)),IF(B31="","",IF(G31="",B31,B31&amp;" -&gt; "&amp;G31)))</f>
        <v/>
      </c>
      <c r="J31" s="6"/>
      <c r="M31" s="134" t="str">
        <f>IF(COUNT(_xlfn.UNIQUE(F:F))&lt;&gt;1,"CARE, NOT THE SAME BASIS","GO")</f>
        <v>CARE, NOT THE SAME BASIS</v>
      </c>
    </row>
    <row r="32" spans="1:42" ht="15" customHeight="1" x14ac:dyDescent="0.25">
      <c r="A32" t="str">
        <f>IF(B32="","",IF(A31="",IF(A30="","",A30),A31))</f>
        <v/>
      </c>
      <c r="B32" s="34"/>
      <c r="C32" s="36" t="str">
        <f>IF(B32="","",SUBSTITUTE(SUBSTITUTE(LEFT(B32,FIND(" ",B32)-1),"-",""),":",""))</f>
        <v/>
      </c>
      <c r="D32" t="str">
        <f t="shared" si="33"/>
        <v/>
      </c>
      <c r="E32" t="str">
        <f t="shared" si="34"/>
        <v/>
      </c>
      <c r="F32" s="2" t="str">
        <f t="shared" si="35"/>
        <v/>
      </c>
      <c r="G32" s="6" t="str">
        <f t="shared" ref="G32:G40" si="37">IFERROR(IF(B32="","",IF(D32=INDEX(N:N,MATCH(C32,M:M,0)),"best bid "&amp;IF(LEFT(INDEX(P:P,MATCH(C32,M:M,0)),1)-1=0,"","("&amp;LEFT(INDEX(P:P,MATCH(C32,M:M,0)),1)-1&amp;" with you)"),INDEX(N:N,MATCH(C32,M:M,0))&amp; " bid")&amp;" / "&amp;IF(E32=INDEX(O:O,MATCH(C32,M:M,0)),"best offer "&amp;IF(LEFT(INDEX(Q:Q,MATCH(C32,M:M,0)),1)-1=0,"","("&amp;LEFT(INDEX(Q:Q,MATCH(C32,M:M,0)),1)-1&amp;" with you)"),INDEX(O:O,MATCH(C32,M:M,0))&amp;" offer")),"")</f>
        <v/>
      </c>
      <c r="H32" s="1" t="str">
        <f t="shared" si="36"/>
        <v/>
      </c>
      <c r="I32" s="6" t="str">
        <f>IF(B32="","",IF(H32="",B32,LEFT(B32,FIND(" ",B32))&amp;IFERROR(IF(SEARCH("bid",H32)&gt;0,VLOOKUP(C32,$M$3:$O$11,2,FALSE)&amp;"*",""),D32)&amp;"/"&amp;IFERROR(IF(SEARCH("offer",H32)&gt;0,VLOOKUP(C32,$M$3:$O$11,3,FALSE)&amp;"*",""),E32)))</f>
        <v/>
      </c>
      <c r="J32" s="6" t="str">
        <f t="shared" ref="J32:J38" si="38">IF(A32&lt;&gt;"JP",IF(B35="","",IF(H32="",B35,B35&amp;" -&gt; "&amp;H32)),IF(B35="","",IF(G32="",B35,B35&amp;" -&gt; "&amp;G32)))</f>
        <v/>
      </c>
      <c r="M32" s="134"/>
    </row>
    <row r="33" spans="1:14" ht="15" customHeight="1" x14ac:dyDescent="0.25">
      <c r="A33" t="str">
        <f t="shared" ref="A33:A41" si="39">IF(B33="","",IF(A32="",IF(A31="","",A31),A32))</f>
        <v/>
      </c>
      <c r="B33" s="34"/>
      <c r="C33" s="36" t="str">
        <f t="shared" ref="C33:C40" si="40">IF(B33="","",SUBSTITUTE(SUBSTITUTE(LEFT(B33,FIND(" ",B33)-1),"-",""),":",""))</f>
        <v/>
      </c>
      <c r="D33" t="str">
        <f t="shared" si="33"/>
        <v/>
      </c>
      <c r="E33" t="str">
        <f t="shared" si="34"/>
        <v/>
      </c>
      <c r="F33" s="2" t="str">
        <f t="shared" si="35"/>
        <v/>
      </c>
      <c r="G33" s="6" t="str">
        <f t="shared" si="37"/>
        <v/>
      </c>
      <c r="H33" s="1" t="str">
        <f t="shared" si="36"/>
        <v/>
      </c>
      <c r="I33" s="6" t="str">
        <f t="shared" ref="I33:I39" si="41">IF(B33="","",IF(H33="",B33,LEFT(B33,FIND(" ",B33))&amp;IFERROR(IF(SEARCH("bid",H33)&gt;0,VLOOKUP(C33,$M$3:$O$11,2,FALSE)&amp;"*",""),D33)&amp;"/"&amp;IFERROR(IF(SEARCH("offer",H33)&gt;0,VLOOKUP(C33,$M$3:$O$11,3,FALSE)&amp;"*",""),E33)))</f>
        <v/>
      </c>
      <c r="J33" s="6" t="str">
        <f t="shared" si="38"/>
        <v/>
      </c>
      <c r="M33" s="134"/>
    </row>
    <row r="34" spans="1:14" ht="15" customHeight="1" x14ac:dyDescent="0.25">
      <c r="A34" t="str">
        <f t="shared" si="39"/>
        <v/>
      </c>
      <c r="B34" s="34"/>
      <c r="C34" s="36" t="str">
        <f t="shared" si="40"/>
        <v/>
      </c>
      <c r="D34" t="str">
        <f t="shared" si="33"/>
        <v/>
      </c>
      <c r="E34" t="str">
        <f t="shared" si="34"/>
        <v/>
      </c>
      <c r="F34" s="2" t="str">
        <f t="shared" si="35"/>
        <v/>
      </c>
      <c r="G34" s="6" t="str">
        <f t="shared" si="37"/>
        <v/>
      </c>
      <c r="H34" s="1" t="str">
        <f t="shared" si="36"/>
        <v/>
      </c>
      <c r="I34" s="6" t="str">
        <f t="shared" si="41"/>
        <v/>
      </c>
      <c r="J34" s="6" t="str">
        <f t="shared" si="38"/>
        <v/>
      </c>
      <c r="M34" s="134"/>
    </row>
    <row r="35" spans="1:14" ht="15" customHeight="1" x14ac:dyDescent="0.25">
      <c r="A35" t="str">
        <f t="shared" si="39"/>
        <v/>
      </c>
      <c r="B35" s="34"/>
      <c r="C35" s="36" t="str">
        <f t="shared" si="40"/>
        <v/>
      </c>
      <c r="D35" t="str">
        <f t="shared" si="33"/>
        <v/>
      </c>
      <c r="E35" t="str">
        <f t="shared" si="34"/>
        <v/>
      </c>
      <c r="F35" s="2" t="str">
        <f t="shared" si="35"/>
        <v/>
      </c>
      <c r="G35" s="6" t="str">
        <f t="shared" si="37"/>
        <v/>
      </c>
      <c r="H35" s="1" t="str">
        <f t="shared" si="36"/>
        <v/>
      </c>
      <c r="I35" s="6" t="str">
        <f t="shared" si="41"/>
        <v/>
      </c>
      <c r="J35" s="6" t="str">
        <f t="shared" si="38"/>
        <v/>
      </c>
      <c r="M35" s="134"/>
    </row>
    <row r="36" spans="1:14" ht="15" customHeight="1" x14ac:dyDescent="0.25">
      <c r="A36" t="str">
        <f t="shared" si="39"/>
        <v/>
      </c>
      <c r="B36" s="34"/>
      <c r="C36" s="36" t="str">
        <f t="shared" si="40"/>
        <v/>
      </c>
      <c r="D36" t="str">
        <f t="shared" si="33"/>
        <v/>
      </c>
      <c r="E36" t="str">
        <f t="shared" si="34"/>
        <v/>
      </c>
      <c r="F36" s="2" t="str">
        <f t="shared" si="35"/>
        <v/>
      </c>
      <c r="G36" s="6" t="str">
        <f t="shared" si="37"/>
        <v/>
      </c>
      <c r="H36" s="1" t="str">
        <f t="shared" si="36"/>
        <v/>
      </c>
      <c r="I36" s="6" t="str">
        <f t="shared" si="41"/>
        <v/>
      </c>
      <c r="J36" s="6" t="str">
        <f t="shared" si="38"/>
        <v/>
      </c>
      <c r="M36" s="134"/>
    </row>
    <row r="37" spans="1:14" ht="15" customHeight="1" x14ac:dyDescent="0.25">
      <c r="A37" t="str">
        <f t="shared" si="39"/>
        <v/>
      </c>
      <c r="B37" s="34"/>
      <c r="C37" s="36" t="str">
        <f t="shared" si="40"/>
        <v/>
      </c>
      <c r="D37" t="str">
        <f t="shared" si="33"/>
        <v/>
      </c>
      <c r="E37" t="str">
        <f t="shared" si="34"/>
        <v/>
      </c>
      <c r="F37" s="2" t="str">
        <f t="shared" si="35"/>
        <v/>
      </c>
      <c r="G37" s="6" t="str">
        <f t="shared" si="37"/>
        <v/>
      </c>
      <c r="H37" s="1" t="str">
        <f t="shared" si="36"/>
        <v/>
      </c>
      <c r="I37" s="6" t="str">
        <f t="shared" si="41"/>
        <v/>
      </c>
      <c r="J37" s="6" t="str">
        <f t="shared" si="38"/>
        <v/>
      </c>
      <c r="M37" s="134"/>
    </row>
    <row r="38" spans="1:14" ht="15" customHeight="1" x14ac:dyDescent="0.25">
      <c r="A38" t="str">
        <f t="shared" si="39"/>
        <v/>
      </c>
      <c r="B38" s="34"/>
      <c r="C38" s="36" t="str">
        <f t="shared" si="40"/>
        <v/>
      </c>
      <c r="D38" t="str">
        <f t="shared" si="33"/>
        <v/>
      </c>
      <c r="E38" t="str">
        <f t="shared" si="34"/>
        <v/>
      </c>
      <c r="F38" s="2" t="str">
        <f t="shared" si="35"/>
        <v/>
      </c>
      <c r="G38" s="6" t="str">
        <f t="shared" si="37"/>
        <v/>
      </c>
      <c r="H38" s="1" t="str">
        <f t="shared" si="36"/>
        <v/>
      </c>
      <c r="I38" s="6" t="str">
        <f t="shared" si="41"/>
        <v/>
      </c>
      <c r="J38" s="6" t="str">
        <f t="shared" si="38"/>
        <v/>
      </c>
      <c r="M38" s="134"/>
    </row>
    <row r="39" spans="1:14" ht="15" customHeight="1" x14ac:dyDescent="0.25">
      <c r="A39" t="str">
        <f t="shared" si="39"/>
        <v/>
      </c>
      <c r="B39" s="34"/>
      <c r="C39" s="36" t="str">
        <f t="shared" si="40"/>
        <v/>
      </c>
      <c r="D39" t="str">
        <f t="shared" si="33"/>
        <v/>
      </c>
      <c r="E39" t="str">
        <f t="shared" si="34"/>
        <v/>
      </c>
      <c r="F39" s="2" t="str">
        <f t="shared" si="35"/>
        <v/>
      </c>
      <c r="G39" s="6" t="str">
        <f t="shared" si="37"/>
        <v/>
      </c>
      <c r="H39" s="1" t="str">
        <f t="shared" si="36"/>
        <v/>
      </c>
      <c r="I39" s="6" t="str">
        <f t="shared" si="41"/>
        <v/>
      </c>
      <c r="J39" s="6" t="e">
        <f>IF(A39&lt;&gt;"JP",IF(#REF!="","",IF(H39="",#REF!,#REF!&amp;" -&gt; "&amp;H39)),IF(#REF!="","",IF(G39="",#REF!,#REF!&amp;" -&gt; "&amp;G39)))</f>
        <v>#REF!</v>
      </c>
      <c r="M39" s="134"/>
    </row>
    <row r="40" spans="1:14" ht="15" customHeight="1" x14ac:dyDescent="0.25">
      <c r="A40" t="str">
        <f t="shared" si="39"/>
        <v/>
      </c>
      <c r="B40" s="34"/>
      <c r="C40" s="36" t="str">
        <f t="shared" si="40"/>
        <v/>
      </c>
      <c r="D40" t="str">
        <f t="shared" si="33"/>
        <v/>
      </c>
      <c r="E40" t="str">
        <f t="shared" si="34"/>
        <v/>
      </c>
      <c r="F40" s="2" t="str">
        <f t="shared" si="35"/>
        <v/>
      </c>
      <c r="G40" s="6" t="str">
        <f t="shared" si="37"/>
        <v/>
      </c>
      <c r="H40" s="1" t="str">
        <f t="shared" si="36"/>
        <v/>
      </c>
      <c r="I40" s="79" t="str">
        <f>IF(A40="JP",IF(B40="","",IF(H40="",B40,B40&amp;" -&gt; "&amp;H40)),IF(B40="","",IF(G40="",B40,B40&amp;" -&gt; "&amp;G40)))&amp;IF(B40="","Not in your run:","")</f>
        <v>Not in your run:</v>
      </c>
      <c r="J40" s="6" t="e">
        <f>IF(A40&lt;&gt;"JP",IF(#REF!="","",IF(H40="",#REF!,#REF!&amp;" -&gt; "&amp;H40)),IF(#REF!="","",IF(G40="",#REF!,#REF!&amp;" -&gt; "&amp;G40)))</f>
        <v>#REF!</v>
      </c>
      <c r="M40" s="134"/>
    </row>
    <row r="41" spans="1:14" ht="15" customHeight="1" x14ac:dyDescent="0.25">
      <c r="A41" s="3" t="str">
        <f t="shared" si="39"/>
        <v/>
      </c>
      <c r="B41" s="34"/>
      <c r="C41" s="37" t="str">
        <f t="shared" si="14"/>
        <v/>
      </c>
      <c r="D41" s="4" t="str">
        <f t="shared" ref="D41" si="42">IF(B41="","",IFERROR(IFERROR(VALUE(SUBSTITUTE(MID(B41,FIND(" ",B41),FIND("/",B41)-FIND(" ",B41))," ","")),IF(FIND("B",UPPER(B41)),VALUE(MID(B41,FIND(" ",B41),FIND("B",UPPER(B41))-FIND(" ",B41))),"")),""))</f>
        <v/>
      </c>
      <c r="E41" s="4" t="str">
        <f t="shared" si="34"/>
        <v/>
      </c>
      <c r="F41" s="5" t="str">
        <f t="shared" si="35"/>
        <v/>
      </c>
      <c r="G41" s="7" t="str">
        <f t="shared" ref="G41" si="43">IFERROR(IF(B41="","",IF(D41=INDEX(N:N,MATCH(C41,M:M,0)),"best bid "&amp;IF(LEFT(INDEX(P:P,MATCH(C41,M:M,0)),1)-1=0,"","("&amp;LEFT(INDEX(P:P,MATCH(C41,M:M,0)),1)-1&amp;" with you)"),INDEX(N:N,MATCH(C41,M:M,0))&amp; " bid")&amp;" / "&amp;IF(E41=INDEX(O:O,MATCH(C41,M:M,0)),"best offer "&amp;IF(LEFT(INDEX(Q:Q,MATCH(C41,M:M,0)),1)-1=0,"","("&amp;LEFT(INDEX(Q:Q,MATCH(C41,M:M,0)),1)-1&amp;" with you)"),INDEX(O:O,MATCH(C41,M:M,0))&amp;" offer")),"")</f>
        <v/>
      </c>
      <c r="H41" s="3" t="str">
        <f t="shared" ref="H41" si="44">IFERROR(IF(B41="","",IF(D41=INDEX(N:N,MATCH(C41,M:M,0)),"",INDEX(N:N,MATCH(C41,M:M,0))&amp; " bid")&amp;IF(E41=INDEX(O:O,MATCH(C41,M:M,0)),"",IF(D41=INDEX(N:N,MATCH(C41,M:M,0)),INDEX(O:O,MATCH(C41,M:M,0))&amp;" offer"," / "&amp;INDEX(O:O,MATCH(C41,M:M,0))&amp;" offer"))),"")</f>
        <v/>
      </c>
      <c r="I41" s="7" t="str">
        <f>IF(B41="",M12&amp;" "&amp;N12&amp; " / " &amp; O12,"")</f>
        <v>Dec31 0 / 0</v>
      </c>
      <c r="J41" s="7" t="e">
        <f>IF(A41&lt;&gt;"JP",IF(#REF!="","",IF(H41="",#REF!,#REF!&amp;" -&gt; "&amp;H41)),IF(#REF!="","",IF(G41="",#REF!,#REF!&amp;" -&gt; "&amp;G41)))</f>
        <v>#REF!</v>
      </c>
      <c r="M41" s="134"/>
    </row>
    <row r="42" spans="1:14" x14ac:dyDescent="0.25">
      <c r="C42" s="36" t="str">
        <f>IF(B42="","",SUBSTITUTE(LEFT(B42,FIND(" ",B42)-1),"-",""))</f>
        <v/>
      </c>
      <c r="D42" t="str">
        <f>IF(B42="","",IFERROR(IFERROR(VALUE(SUBSTITUTE(MID(B42,FIND(" ",B42),FIND("/",B42)-FIND(" ",B42))," ","")),IF(FIND("B",UPPER(B42)),VALUE(MID(B42,FIND(" ",B42),FIND("B",UPPER(B42))-FIND(" ",B42))),"")),""))</f>
        <v/>
      </c>
      <c r="E42" t="str">
        <f>IF(B42="","",IFERROR(IFERROR(VALUE(SUBSTITUTE(RIGHT(B42,LEN(B42)-FIND("/",B42))," ","")),IF(FIND("O",UPPER(B42)),VALUE(MID(B42,FIND(" ",B42),FIND("O",UPPER(B42))-FIND(" ",B42))),"")),""))</f>
        <v/>
      </c>
      <c r="H42" t="str">
        <f>IFERROR(IF(B42="","",IF(D42=INDEX(N:N,MATCH(C42,M:M,0)),"you are best bid "&amp;IF(INDEX(P:P,MATCH(C42,M:M,0))-1=0,"","("&amp;INDEX(P:P,MATCH(C42,M:M,0))-1&amp;" with you)"),INDEX(N:N,MATCH(C42,M:M,0))&amp; " bid")&amp;" / "&amp;IF(E42=INDEX(O:O,MATCH(C42,M:M,0)),"you are best offer "&amp;IF(INDEX(Q:Q,MATCH(C42,M:M,0))-1=0,"","("&amp;INDEX(Q:Q,MATCH(C42,M:M,0))-1&amp;" with you)"),INDEX(O:O,MATCH(C42,M:M,0))&amp;" offer")),"")</f>
        <v/>
      </c>
      <c r="I42" t="str">
        <f>IFERROR(IF(H42="","",C42&amp;" "&amp;INDEX(N:N,MATCH(C42,M:M,0))&amp;" / "&amp;INDEX(O:O,MATCH(C42,M:M,0))&amp;" : "&amp;H42),B42)</f>
        <v/>
      </c>
    </row>
    <row r="43" spans="1:14" x14ac:dyDescent="0.25">
      <c r="C43" s="37" t="str">
        <f t="shared" ref="C43:C45" si="45">IF(B43="","",SUBSTITUTE(LEFT(B43,FIND(" ",B43)-1),"-",""))</f>
        <v/>
      </c>
      <c r="D43" s="37"/>
      <c r="E43" s="37"/>
      <c r="F43" s="37"/>
      <c r="G43" s="37"/>
      <c r="H43" s="38"/>
      <c r="I43" s="39" t="str">
        <f xml:space="preserve"> "Your feedback Erwin"</f>
        <v>Your feedback Erwin</v>
      </c>
      <c r="J43" s="8" t="str">
        <f>"Send to "&amp;A44 &amp; " V2 report"</f>
        <v>Send to Opti V2 report</v>
      </c>
      <c r="M43" s="102" t="s">
        <v>52</v>
      </c>
    </row>
    <row r="44" spans="1:14" x14ac:dyDescent="0.25">
      <c r="A44" s="32" t="s">
        <v>53</v>
      </c>
      <c r="B44" s="33"/>
      <c r="C44" s="40" t="str">
        <f t="shared" si="45"/>
        <v/>
      </c>
      <c r="D44" s="40" t="str">
        <f t="shared" ref="D44:D45" si="46">IF(B44="","",IFERROR(IFERROR(VALUE(SUBSTITUTE(MID(B44,FIND(" ",B44),FIND("/",B44)-FIND(" ",B44))," ","")),IF(FIND("B",UPPER(B44)),VALUE(MID(B44,FIND(" ",B44),FIND("B",UPPER(B44))-FIND(" ",B44))),"")),""))</f>
        <v/>
      </c>
      <c r="E44" s="40" t="str">
        <f t="shared" ref="E44:E54" si="47">IF(B44="","",IFERROR(IFERROR(VALUE(SUBSTITUTE(RIGHT(B44,LEN(B44)-FIND("/",B44))," ","")),IF(FIND("O",UPPER(B44)),VALUE(MID(B44,FIND(" ",B44),FIND("O",UPPER(B44))-FIND(" ",B44))),"")),""))</f>
        <v/>
      </c>
      <c r="F44" s="41" t="str">
        <f>IF(B44="","",VALUE(SUBSTITUTE(SUBSTITUTE(SUBSTITUTE(SUBSTITUTE(RIGHT(B44,LEN(B44)-FIND("vs",B44)+1),"basis",""),"vs","")," ",""),":","")))</f>
        <v/>
      </c>
      <c r="G44" s="42" t="s">
        <v>13</v>
      </c>
      <c r="H44" s="43" t="s">
        <v>14</v>
      </c>
      <c r="I44" s="6">
        <f>B44</f>
        <v>0</v>
      </c>
      <c r="J44" s="6">
        <f>B44</f>
        <v>0</v>
      </c>
      <c r="M44" s="24" t="str">
        <f>"Tightest SX5E TRF vs " &amp;IF(IF(IF(IF(F61="",F44,F61)="",F78,IF(F61="",F44,F61))="",F95,IF(IF(F61="",F44,F61)="",F78,IF(F61="",F44,F61)))="",F112,IF(IF(IF(F61="",F44,F61)="",F78,IF(F61="",F44,F61))="",F95,IF(IF(F61="",F44,F61)="",F78,IF(F61="",F44,F61))))</f>
        <v xml:space="preserve">Tightest SX5E TRF vs </v>
      </c>
    </row>
    <row r="45" spans="1:14" x14ac:dyDescent="0.25">
      <c r="A45" t="str">
        <f t="shared" ref="A45:A50" si="48">IF(B45="","",IF(A44="",IF(A43="","",A43),A44))</f>
        <v/>
      </c>
      <c r="B45" s="36"/>
      <c r="C45" s="36" t="str">
        <f t="shared" si="45"/>
        <v/>
      </c>
      <c r="D45" t="str">
        <f t="shared" si="46"/>
        <v/>
      </c>
      <c r="E45" t="str">
        <f t="shared" si="47"/>
        <v/>
      </c>
      <c r="F45" s="2" t="str">
        <f t="shared" ref="F45:F54" si="49">IF(B45="","",IF(F44="",IF(F43="","",F43),F44))</f>
        <v/>
      </c>
      <c r="H45" s="44" t="str">
        <f t="shared" ref="H45:H54" si="50">IFERROR(IF(B45="","",IF(D45=INDEX(N:N,MATCH(C45,M:M,0)),"",INDEX(N:N,MATCH(C45,M:M,0))&amp; " bid")&amp;IF(E45=INDEX(O:O,MATCH(C45,M:M,0)),"",IF(D45=INDEX(N:N,MATCH(C45,M:M,0)),INDEX(O:O,MATCH(C45,M:M,0))&amp;" offer"," / "&amp;INDEX(O:O,MATCH(C45,M:M,0))&amp;" offer"))),"")</f>
        <v/>
      </c>
      <c r="I45" s="6" t="str">
        <f t="shared" ref="I45" si="51">IF(A45="JP",IF(B45="","",IF(H45="",B45,B45&amp;" -&gt; "&amp;H45)),IF(B45="","",IF(G45="",B45,B45&amp;" -&gt; "&amp;G45)))</f>
        <v/>
      </c>
      <c r="J45" s="6"/>
      <c r="M45" s="22" t="str">
        <f>IFERROR(IF(P3="","",M3&amp;" "&amp;N3&amp; " (" &amp; LEFT(N45,FIND(" ",N45)-1)&amp;") / "&amp;O3&amp; " (" &amp;RIGHT(N45,FIND(" ",N45)-1)&amp; ")"),"")</f>
        <v/>
      </c>
      <c r="N45" t="str">
        <f>IF(OR(ISNUMBER(SEARCH("bnp",P3))=TRUE,ISNUMBER(SEARCH("barc",P3))=TRUE,ISNUMBER(SEARCH("jp",P3))=TRUE),"3k","Subj")&amp; " / " &amp; IF(OR(ISNUMBER(SEARCH("bnp",Q3))=TRUE,ISNUMBER(SEARCH("barc",Q3))=TRUE,ISNUMBER(SEARCH("jp",Q3))=TRUE),"3k","Subj")</f>
        <v>Subj / Subj</v>
      </c>
    </row>
    <row r="46" spans="1:14" x14ac:dyDescent="0.25">
      <c r="A46" t="str">
        <f t="shared" si="48"/>
        <v/>
      </c>
      <c r="B46" s="34"/>
      <c r="C46" s="36" t="str">
        <f>IF(B46="","",SUBSTITUTE(SUBSTITUTE(SUBSTITUTE(LEFT(B46,FIND(" ",B46)+5),"-",""),":",""),"CAC ",""))</f>
        <v/>
      </c>
      <c r="D46" t="str">
        <f>IF(B46="","",IFERROR(IFERROR(VALUE(SUBSTITUTE(MID(B46,FIND("TRF ",B46)+4,FIND("/",B46)-FIND("TRF ",B46)-4)," ","")),IF(FIND("B",UPPER(B46)),VALUE(MID(B46,FIND("TRF ",B46)+4,FIND("B",UPPER(B46))-FIND("TRF ",B46)-4)),"")),""))</f>
        <v/>
      </c>
      <c r="E46" t="str">
        <f t="shared" si="47"/>
        <v/>
      </c>
      <c r="F46" s="2" t="str">
        <f t="shared" si="49"/>
        <v/>
      </c>
      <c r="G46" s="6" t="str">
        <f>IFERROR(IF(B46="","",IF(D46=INDEX(N:N,MATCH(C46,M:M,0)),"best bid "&amp;IF(LEFT(INDEX(P:P,MATCH(C46,M:M,0)),1)-1=0,"","("&amp;LEFT(INDEX(P:P,MATCH(C46,M:M,0)),1)-1&amp;" with you)"),INDEX(N:N,MATCH(C46,M:M,0))&amp; " bid")&amp;" / "&amp;IF(E46=INDEX(O:O,MATCH(C46,M:M,0)),"best offer "&amp;IF(LEFT(INDEX(Q:Q,MATCH(C46,M:M,0)),1)-1=0,"","("&amp;LEFT(INDEX(Q:Q,MATCH(C46,M:M,0)),1)-1&amp;" with you)"),INDEX(O:O,MATCH(C46,M:M,0))&amp;" offer")),"")</f>
        <v/>
      </c>
      <c r="H46" s="1" t="str">
        <f t="shared" si="50"/>
        <v/>
      </c>
      <c r="I46" s="6" t="str">
        <f>IF(B46="","",IF(H46="",B46,"CAC "&amp;C46&amp;" TRF "&amp;IFERROR(IF(SEARCH("bid",H46)&gt;0,N4&amp;"*",""),D46)&amp;"/"&amp;IFERROR(IF(SEARCH("offer",H46)&gt;0,O4&amp;"*",""),E46)))</f>
        <v/>
      </c>
      <c r="J46" s="6" t="str">
        <f t="shared" ref="J46:J55" si="52">IF(A46&lt;&gt;"JP",IF(B47="","",IF(H46="",B47,B47&amp;" -&gt; "&amp;H46)),IF(B47="","",IF(G46="",B47,B47&amp;" -&gt; "&amp;G46)))</f>
        <v/>
      </c>
      <c r="M46" s="22" t="str">
        <f t="shared" ref="M46:M55" si="53">IFERROR(IF(P4="","",M4&amp;" "&amp;N4&amp; " (" &amp; LEFT(N46,FIND(" ",N46)-1)&amp;") / "&amp;O4&amp; " (" &amp;RIGHT(N46,FIND(" ",N46)-1)&amp; ")"),"")</f>
        <v/>
      </c>
      <c r="N46" t="str">
        <f>IF(OR(ISNUMBER(SEARCH("bnp",P4))=TRUE,ISNUMBER(SEARCH("barc",P4))=TRUE,ISNUMBER(SEARCH("jp",P4))=TRUE),"3k","Subj")&amp; " / " &amp; IF(OR(ISNUMBER(SEARCH("bnp",Q4))=TRUE,ISNUMBER(SEARCH("barc",Q4))=TRUE,ISNUMBER(SEARCH("jp",Q4))=TRUE),"3k","Subj")</f>
        <v>Subj / Subj</v>
      </c>
    </row>
    <row r="47" spans="1:14" x14ac:dyDescent="0.25">
      <c r="A47" t="str">
        <f t="shared" si="48"/>
        <v/>
      </c>
      <c r="B47" s="34"/>
      <c r="C47" s="36" t="str">
        <f t="shared" ref="C47:C55" si="54">IF(B47="","",SUBSTITUTE(SUBSTITUTE(SUBSTITUTE(LEFT(B47,FIND(" ",B47)+5),"-",""),":",""),"CAC ",""))</f>
        <v/>
      </c>
      <c r="D47" t="str">
        <f t="shared" ref="D47:D54" si="55">IF(B47="","",IFERROR(IFERROR(VALUE(SUBSTITUTE(MID(B47,FIND("TRF ",B47)+4,FIND("/",B47)-FIND("TRF ",B47)-4)," ","")),IF(FIND("B",UPPER(B47)),VALUE(MID(B47,FIND("TRF ",B47)+4,FIND("B",UPPER(B47))-FIND("TRF ",B47)-4)),"")),""))</f>
        <v/>
      </c>
      <c r="E47" t="str">
        <f t="shared" si="47"/>
        <v/>
      </c>
      <c r="F47" s="2" t="str">
        <f t="shared" si="49"/>
        <v/>
      </c>
      <c r="G47" s="6" t="str">
        <f t="shared" ref="G47:G54" si="56">IFERROR(IF(B47="","",IF(D47=INDEX(N:N,MATCH(C47,M:M,0)),"best bid "&amp;IF(LEFT(INDEX(P:P,MATCH(C47,M:M,0)),1)-1=0,"","("&amp;LEFT(INDEX(P:P,MATCH(C47,M:M,0)),1)-1&amp;" with you)"),INDEX(N:N,MATCH(C47,M:M,0))&amp; " bid")&amp;" / "&amp;IF(E47=INDEX(O:O,MATCH(C47,M:M,0)),"best offer "&amp;IF(LEFT(INDEX(Q:Q,MATCH(C47,M:M,0)),1)-1=0,"","("&amp;LEFT(INDEX(Q:Q,MATCH(C47,M:M,0)),1)-1&amp;" with you)"),INDEX(O:O,MATCH(C47,M:M,0))&amp;" offer")),"")</f>
        <v/>
      </c>
      <c r="H47" s="1" t="str">
        <f t="shared" si="50"/>
        <v/>
      </c>
      <c r="I47" s="6" t="str">
        <f t="shared" ref="I47:I54" si="57">IF(B47="","",IF(H47="",B47,"CAC "&amp;C47&amp;" TRF "&amp;IFERROR(IF(SEARCH("bid",H47)&gt;0,N5&amp;"*",""),D47)&amp;"/"&amp;IFERROR(IF(SEARCH("offer",H47)&gt;0,O5&amp;"*",""),E47)))</f>
        <v/>
      </c>
      <c r="J47" s="6" t="str">
        <f t="shared" si="52"/>
        <v/>
      </c>
      <c r="M47" s="22" t="str">
        <f t="shared" si="53"/>
        <v/>
      </c>
      <c r="N47" t="str">
        <f t="shared" ref="N47:N55" si="58">IF(OR(ISNUMBER(SEARCH("bnp",P5))=TRUE,ISNUMBER(SEARCH("barc",P5))=TRUE,ISNUMBER(SEARCH("jp",P5))=TRUE),"3k","Subj")&amp; " / " &amp; IF(OR(ISNUMBER(SEARCH("bnp",Q5))=TRUE,ISNUMBER(SEARCH("barc",Q5))=TRUE,ISNUMBER(SEARCH("jp",Q5))=TRUE),"3k","Subj")</f>
        <v>Subj / Subj</v>
      </c>
    </row>
    <row r="48" spans="1:14" x14ac:dyDescent="0.25">
      <c r="A48" t="str">
        <f t="shared" si="48"/>
        <v/>
      </c>
      <c r="B48" s="34"/>
      <c r="C48" s="36" t="str">
        <f t="shared" si="54"/>
        <v/>
      </c>
      <c r="D48" t="str">
        <f t="shared" si="55"/>
        <v/>
      </c>
      <c r="E48" t="str">
        <f t="shared" si="47"/>
        <v/>
      </c>
      <c r="F48" s="2" t="str">
        <f t="shared" si="49"/>
        <v/>
      </c>
      <c r="G48" s="6" t="str">
        <f t="shared" si="56"/>
        <v/>
      </c>
      <c r="H48" s="1" t="str">
        <f t="shared" si="50"/>
        <v/>
      </c>
      <c r="I48" s="6" t="str">
        <f t="shared" si="57"/>
        <v/>
      </c>
      <c r="J48" s="6" t="str">
        <f t="shared" si="52"/>
        <v/>
      </c>
      <c r="M48" s="22" t="str">
        <f t="shared" si="53"/>
        <v/>
      </c>
      <c r="N48" t="str">
        <f t="shared" si="58"/>
        <v>Subj / Subj</v>
      </c>
    </row>
    <row r="49" spans="1:14" x14ac:dyDescent="0.25">
      <c r="A49" t="str">
        <f t="shared" si="48"/>
        <v/>
      </c>
      <c r="B49" s="34"/>
      <c r="C49" s="36" t="str">
        <f t="shared" si="54"/>
        <v/>
      </c>
      <c r="D49" t="str">
        <f t="shared" si="55"/>
        <v/>
      </c>
      <c r="E49" t="str">
        <f t="shared" si="47"/>
        <v/>
      </c>
      <c r="F49" s="2" t="str">
        <f t="shared" si="49"/>
        <v/>
      </c>
      <c r="G49" s="6" t="str">
        <f t="shared" si="56"/>
        <v/>
      </c>
      <c r="H49" s="1" t="str">
        <f t="shared" si="50"/>
        <v/>
      </c>
      <c r="I49" s="6" t="str">
        <f t="shared" si="57"/>
        <v/>
      </c>
      <c r="J49" s="6" t="str">
        <f t="shared" si="52"/>
        <v/>
      </c>
      <c r="M49" s="22" t="str">
        <f t="shared" si="53"/>
        <v/>
      </c>
      <c r="N49" t="str">
        <f t="shared" si="58"/>
        <v>Subj / Subj</v>
      </c>
    </row>
    <row r="50" spans="1:14" x14ac:dyDescent="0.25">
      <c r="A50" t="str">
        <f t="shared" si="48"/>
        <v/>
      </c>
      <c r="B50" s="34"/>
      <c r="C50" s="36" t="str">
        <f t="shared" si="54"/>
        <v/>
      </c>
      <c r="D50" t="str">
        <f t="shared" si="55"/>
        <v/>
      </c>
      <c r="E50" t="str">
        <f t="shared" si="47"/>
        <v/>
      </c>
      <c r="F50" s="2" t="str">
        <f t="shared" si="49"/>
        <v/>
      </c>
      <c r="G50" s="6" t="str">
        <f t="shared" si="56"/>
        <v/>
      </c>
      <c r="H50" s="1" t="str">
        <f t="shared" si="50"/>
        <v/>
      </c>
      <c r="I50" s="6" t="str">
        <f t="shared" si="57"/>
        <v/>
      </c>
      <c r="J50" s="6" t="str">
        <f t="shared" si="52"/>
        <v/>
      </c>
      <c r="M50" s="22" t="str">
        <f t="shared" si="53"/>
        <v/>
      </c>
      <c r="N50" t="str">
        <f t="shared" si="58"/>
        <v>Subj / Subj</v>
      </c>
    </row>
    <row r="51" spans="1:14" x14ac:dyDescent="0.25">
      <c r="A51" t="str">
        <f t="shared" ref="A51:A55" si="59">IF(B51="","",IF(A50="",IF(A49="","",A49),A50))</f>
        <v/>
      </c>
      <c r="B51" s="34"/>
      <c r="C51" s="36" t="str">
        <f t="shared" si="54"/>
        <v/>
      </c>
      <c r="D51" t="str">
        <f t="shared" si="55"/>
        <v/>
      </c>
      <c r="E51" t="str">
        <f t="shared" si="47"/>
        <v/>
      </c>
      <c r="F51" s="2" t="str">
        <f t="shared" si="49"/>
        <v/>
      </c>
      <c r="G51" s="6" t="str">
        <f t="shared" si="56"/>
        <v/>
      </c>
      <c r="H51" s="1" t="str">
        <f t="shared" si="50"/>
        <v/>
      </c>
      <c r="I51" s="6" t="str">
        <f t="shared" si="57"/>
        <v/>
      </c>
      <c r="J51" s="6" t="str">
        <f t="shared" si="52"/>
        <v/>
      </c>
      <c r="M51" s="22" t="str">
        <f t="shared" si="53"/>
        <v/>
      </c>
      <c r="N51" t="str">
        <f t="shared" si="58"/>
        <v>Subj / Subj</v>
      </c>
    </row>
    <row r="52" spans="1:14" x14ac:dyDescent="0.25">
      <c r="A52" t="str">
        <f t="shared" si="59"/>
        <v/>
      </c>
      <c r="B52" s="34"/>
      <c r="C52" s="36" t="str">
        <f t="shared" si="54"/>
        <v/>
      </c>
      <c r="D52" t="str">
        <f t="shared" si="55"/>
        <v/>
      </c>
      <c r="E52" t="str">
        <f t="shared" si="47"/>
        <v/>
      </c>
      <c r="F52" s="2" t="str">
        <f t="shared" si="49"/>
        <v/>
      </c>
      <c r="G52" s="6" t="str">
        <f t="shared" si="56"/>
        <v/>
      </c>
      <c r="H52" s="1" t="str">
        <f t="shared" si="50"/>
        <v/>
      </c>
      <c r="I52" s="6" t="str">
        <f t="shared" si="57"/>
        <v/>
      </c>
      <c r="J52" s="6" t="str">
        <f t="shared" si="52"/>
        <v/>
      </c>
      <c r="M52" s="22" t="str">
        <f t="shared" si="53"/>
        <v/>
      </c>
      <c r="N52" t="str">
        <f t="shared" si="58"/>
        <v>Subj / Subj</v>
      </c>
    </row>
    <row r="53" spans="1:14" x14ac:dyDescent="0.25">
      <c r="A53" t="str">
        <f t="shared" si="59"/>
        <v/>
      </c>
      <c r="B53" s="34"/>
      <c r="C53" s="36" t="str">
        <f t="shared" si="54"/>
        <v/>
      </c>
      <c r="D53" t="str">
        <f t="shared" si="55"/>
        <v/>
      </c>
      <c r="E53" t="str">
        <f t="shared" si="47"/>
        <v/>
      </c>
      <c r="F53" s="2" t="str">
        <f t="shared" si="49"/>
        <v/>
      </c>
      <c r="G53" s="6" t="str">
        <f t="shared" si="56"/>
        <v/>
      </c>
      <c r="H53" s="1" t="str">
        <f t="shared" si="50"/>
        <v/>
      </c>
      <c r="I53" s="6" t="str">
        <f t="shared" si="57"/>
        <v/>
      </c>
      <c r="J53" s="6" t="str">
        <f t="shared" si="52"/>
        <v/>
      </c>
      <c r="M53" s="22" t="str">
        <f t="shared" si="53"/>
        <v/>
      </c>
      <c r="N53" t="str">
        <f t="shared" si="58"/>
        <v>Subj / Subj</v>
      </c>
    </row>
    <row r="54" spans="1:14" x14ac:dyDescent="0.25">
      <c r="A54" t="str">
        <f t="shared" si="59"/>
        <v/>
      </c>
      <c r="B54" s="34"/>
      <c r="C54" s="36" t="str">
        <f t="shared" si="54"/>
        <v/>
      </c>
      <c r="D54" t="str">
        <f t="shared" si="55"/>
        <v/>
      </c>
      <c r="E54" t="str">
        <f t="shared" si="47"/>
        <v/>
      </c>
      <c r="F54" s="2" t="str">
        <f t="shared" si="49"/>
        <v/>
      </c>
      <c r="G54" s="6" t="str">
        <f t="shared" si="56"/>
        <v/>
      </c>
      <c r="H54" s="1" t="str">
        <f t="shared" si="50"/>
        <v/>
      </c>
      <c r="I54" s="6" t="str">
        <f t="shared" si="57"/>
        <v/>
      </c>
      <c r="J54" s="6" t="str">
        <f t="shared" si="52"/>
        <v/>
      </c>
      <c r="M54" s="22" t="str">
        <f t="shared" si="53"/>
        <v/>
      </c>
      <c r="N54" t="str">
        <f t="shared" si="58"/>
        <v>Subj / Subj</v>
      </c>
    </row>
    <row r="55" spans="1:14" x14ac:dyDescent="0.25">
      <c r="A55" s="3" t="str">
        <f t="shared" si="59"/>
        <v/>
      </c>
      <c r="B55" s="34"/>
      <c r="C55" s="37" t="str">
        <f t="shared" si="54"/>
        <v/>
      </c>
      <c r="D55" s="4" t="str">
        <f t="shared" ref="D55" si="60">IF(B55="","",IFERROR(IFERROR(VALUE(SUBSTITUTE(MID(B55,FIND("TRF ",B55)+4,FIND("/",B55)-FIND("TRF ",B55)-4)," ","")),IF(FIND("B",UPPER(B55)),VALUE(MID(B55,FIND("TRF ",B55)+4,FIND("B",UPPER(B55))-FIND("TRF ",B55)-4)),"")),""))</f>
        <v/>
      </c>
      <c r="E55" s="4" t="str">
        <f t="shared" ref="E55" si="61">IF(B55="","",IFERROR(IFERROR(VALUE(SUBSTITUTE(RIGHT(B55,LEN(B55)-FIND("/",B55))," ","")),IF(FIND("O",UPPER(B55)),VALUE(MID(B55,FIND(" ",B55),FIND("O",UPPER(B55))-FIND(" ",B55))),"")),""))</f>
        <v/>
      </c>
      <c r="F55" s="5" t="str">
        <f t="shared" ref="F55" si="62">IF(B55="","",IF(F54="",IF(F53="","",F53),F54))</f>
        <v/>
      </c>
      <c r="G55" s="7" t="str">
        <f t="shared" ref="G55" si="63">IFERROR(IF(B55="","",IF(D55=INDEX(N:N,MATCH(C55,M:M,0)),"best bid "&amp;IF(LEFT(INDEX(P:P,MATCH(C55,M:M,0)),1)-1=0,"","("&amp;LEFT(INDEX(P:P,MATCH(C55,M:M,0)),1)-1&amp;" with you)"),INDEX(N:N,MATCH(C55,M:M,0))&amp; " bid")&amp;" / "&amp;IF(E55=INDEX(O:O,MATCH(C55,M:M,0)),"best offer "&amp;IF(LEFT(INDEX(Q:Q,MATCH(C55,M:M,0)),1)-1=0,"","("&amp;LEFT(INDEX(Q:Q,MATCH(C55,M:M,0)),1)-1&amp;" with you)"),INDEX(O:O,MATCH(C55,M:M,0))&amp;" offer")),"")</f>
        <v/>
      </c>
      <c r="H55" s="7" t="str">
        <f t="shared" ref="H55" si="64">IFERROR(IF(B55="","",IF(D55=INDEX(N:N,MATCH(C55,M:M,0)),"",INDEX(N:N,MATCH(C55,M:M,0))&amp; " bid")&amp;IF(E55=INDEX(O:O,MATCH(C55,M:M,0)),"",IF(D55=INDEX(N:N,MATCH(C55,M:M,0)),INDEX(O:O,MATCH(C55,M:M,0))&amp;" offer"," / "&amp;INDEX(O:O,MATCH(C55,M:M,0))&amp;" offer"))),"")</f>
        <v/>
      </c>
      <c r="I55" s="7" t="str">
        <f t="shared" ref="I55" si="65">IF(A55="JP",IF(B55="","",IF(H55="",B55,B55&amp;" -&gt; "&amp;H55)),IF(B55="","",IF(G55="",B55,B55&amp;" -&gt; "&amp;G55)))</f>
        <v/>
      </c>
      <c r="J55" s="7" t="str">
        <f t="shared" si="52"/>
        <v/>
      </c>
      <c r="M55" s="22" t="str">
        <f t="shared" si="53"/>
        <v/>
      </c>
      <c r="N55" t="str">
        <f t="shared" si="58"/>
        <v>Subj / Subj</v>
      </c>
    </row>
    <row r="56" spans="1:14" x14ac:dyDescent="0.25">
      <c r="B56" s="12"/>
      <c r="C56" s="36"/>
      <c r="H56" t="str">
        <f>IFERROR(IF(#REF!="","",IF(D56=INDEX(N:N,MATCH(C56,M:M,0)),"you are best bid "&amp;IF(INDEX(P:P,MATCH(C56,M:M,0))-1=0,"","("&amp;INDEX(P:P,MATCH(C56,M:M,0))-1&amp;" with you)"),INDEX(N:N,MATCH(C56,M:M,0))&amp; " bid")&amp;" / "&amp;IF(E56=INDEX(O:O,MATCH(C56,M:M,0)),"you are best offer "&amp;IF(INDEX(Q:Q,MATCH(C56,M:M,0))-1=0,"","("&amp;INDEX(Q:Q,MATCH(C56,M:M,0))-1&amp;" with you)"),INDEX(O:O,MATCH(C56,M:M,0))&amp;" offer")),"")</f>
        <v/>
      </c>
      <c r="I56" t="str">
        <f>IFERROR(IF(H56="","",C56&amp;" "&amp;INDEX(N:N,MATCH(C56,M:M,0))&amp;" / "&amp;INDEX(O:O,MATCH(C56,M:M,0))&amp;" : "&amp;H56),#REF!)</f>
        <v/>
      </c>
      <c r="M56" s="23" t="str">
        <f>IFERROR(IF(P14="","",M14&amp;" "&amp;N14&amp;" / "&amp;O14),"")</f>
        <v/>
      </c>
    </row>
    <row r="57" spans="1:14" x14ac:dyDescent="0.25">
      <c r="C57" s="36" t="str">
        <f>IF(B57="","",SUBSTITUTE(LEFT(B57,FIND(" ",B57)-1),"-",""))</f>
        <v/>
      </c>
      <c r="H57" t="str">
        <f>IFERROR(IF(B57="","",IF(D57=INDEX(N:N,MATCH(C57,M:M,0)),"you are best bid "&amp;IF(INDEX(P:P,MATCH(C57,M:M,0))-1=0,"","("&amp;INDEX(P:P,MATCH(C57,M:M,0))-1&amp;" with you)"),INDEX(N:N,MATCH(C57,M:M,0))&amp; " bid")&amp;" / "&amp;IF(E57=INDEX(O:O,MATCH(C57,M:M,0)),"you are best offer "&amp;IF(INDEX(Q:Q,MATCH(C57,M:M,0))-1=0,"","("&amp;INDEX(Q:Q,MATCH(C57,M:M,0))-1&amp;" with you)"),INDEX(O:O,MATCH(C57,M:M,0))&amp;" offer")),"")</f>
        <v/>
      </c>
      <c r="I57" t="str">
        <f>IFERROR(IF(H57="","",C57&amp;" "&amp;INDEX(N:N,MATCH(C57,M:M,0))&amp;" / "&amp;INDEX(O:O,MATCH(C57,M:M,0))&amp;" : "&amp;H57),B57)</f>
        <v/>
      </c>
    </row>
    <row r="58" spans="1:14" x14ac:dyDescent="0.25">
      <c r="C58" s="36" t="str">
        <f>IF(B58="","",SUBSTITUTE(LEFT(B58,FIND(" ",B58)-1),"-",""))</f>
        <v/>
      </c>
      <c r="D58" t="str">
        <f t="shared" ref="D58:D70" si="66">IF(B58="","",IFERROR(IFERROR(VALUE(SUBSTITUTE(MID(B58,FIND(" ",B58),FIND("/",B58)-FIND(" ",B58))," ","")),IF(FIND("B",UPPER(B58)),VALUE(MID(B58,FIND(" ",B58),FIND("B",UPPER(B58))-FIND(" ",B58))),"")),""))</f>
        <v/>
      </c>
      <c r="E58" t="str">
        <f t="shared" ref="E58:E70" si="67">IF(B58="","",IFERROR(IFERROR(VALUE(SUBSTITUTE(RIGHT(B58,LEN(B58)-FIND("/",B58))," ","")),IF(FIND("O",UPPER(B58)),VALUE(MID(B58,FIND(" ",B58),FIND("O",UPPER(B58))-FIND(" ",B58))),"")),""))</f>
        <v/>
      </c>
      <c r="H58" t="str">
        <f>IFERROR(IF(B58="","",IF(D58=INDEX(N:N,MATCH(C58,M:M,0)),"you are best bid "&amp;IF(INDEX(P:P,MATCH(C58,M:M,0))-1=0,"","("&amp;INDEX(P:P,MATCH(C58,M:M,0))-1&amp;" with you)"),INDEX(N:N,MATCH(C58,M:M,0))&amp; " bid")&amp;" / "&amp;IF(E58=INDEX(O:O,MATCH(C58,M:M,0)),"you are best offer "&amp;IF(INDEX(Q:Q,MATCH(C58,M:M,0))-1=0,"","("&amp;INDEX(Q:Q,MATCH(C58,M:M,0))-1&amp;" with you)"),INDEX(O:O,MATCH(C58,M:M,0))&amp;" offer")),"")</f>
        <v/>
      </c>
      <c r="I58" s="39" t="str">
        <f xml:space="preserve"> "Your feedback Nathaniel"</f>
        <v>Your feedback Nathaniel</v>
      </c>
    </row>
    <row r="59" spans="1:14" x14ac:dyDescent="0.25">
      <c r="A59" s="32" t="s">
        <v>35</v>
      </c>
      <c r="B59" s="101"/>
      <c r="C59" s="40" t="str">
        <f>IF(B59="","",SUBSTITUTE(LEFT(B59,FIND(" ",B59)-1),"-",""))</f>
        <v/>
      </c>
      <c r="D59" s="40" t="str">
        <f t="shared" si="66"/>
        <v/>
      </c>
      <c r="E59" s="40" t="str">
        <f t="shared" si="67"/>
        <v/>
      </c>
      <c r="F59" s="41" t="str">
        <f>IF(B59="","",VALUE(SUBSTITUTE(SUBSTITUTE(SUBSTITUTE(SUBSTITUTE(SUBSTITUTE(RIGHT(B59,LEN(B59)-FIND("vs",B59)+1),"basis",""),"vs.","")," ",""),":",""),"vs","")))</f>
        <v/>
      </c>
      <c r="G59" s="42" t="s">
        <v>13</v>
      </c>
      <c r="H59" s="43" t="s">
        <v>14</v>
      </c>
      <c r="I59" s="6" t="str">
        <f>IF(B59="","",B59)</f>
        <v/>
      </c>
    </row>
    <row r="60" spans="1:14" x14ac:dyDescent="0.25">
      <c r="A60" t="str">
        <f t="shared" ref="A60:A70" si="68">IF(B60="","",IF(A59="",IF(A58="","",A58),A59))</f>
        <v/>
      </c>
      <c r="B60" s="99"/>
      <c r="C60" s="36" t="str">
        <f t="shared" ref="C60:C69" si="69">IF(B60="","",SUBSTITUTE(SUBSTITUTE(LEFT(B60,FIND(" ",B60)-1),"-",""),":",""))</f>
        <v/>
      </c>
      <c r="D60" t="str">
        <f t="shared" si="66"/>
        <v/>
      </c>
      <c r="E60" t="str">
        <f t="shared" si="67"/>
        <v/>
      </c>
      <c r="F60" s="2" t="str">
        <f t="shared" ref="F60:F70" si="70">IF(B60="","",IF(F59="",IF(F58="","",F58),F59))</f>
        <v/>
      </c>
      <c r="H60" s="44" t="str">
        <f t="shared" ref="H60:H70" si="71">IFERROR(IF(B60="","",IF(D60=INDEX(N:N,MATCH(C60,M:M,0)),"",INDEX(N:N,MATCH(C60,M:M,0))&amp; " bid")&amp;IF(E60=INDEX(O:O,MATCH(C60,M:M,0)),"",IF(D60=INDEX(N:N,MATCH(C60,M:M,0)),INDEX(O:O,MATCH(C60,M:M,0))&amp;" offer"," / "&amp;INDEX(O:O,MATCH(C60,M:M,0))&amp;" offer"))),"")</f>
        <v/>
      </c>
      <c r="I60" s="6"/>
    </row>
    <row r="61" spans="1:14" x14ac:dyDescent="0.25">
      <c r="A61" t="str">
        <f t="shared" si="68"/>
        <v/>
      </c>
      <c r="B61" s="100"/>
      <c r="C61" s="36" t="str">
        <f t="shared" si="69"/>
        <v/>
      </c>
      <c r="D61" t="str">
        <f t="shared" si="66"/>
        <v/>
      </c>
      <c r="E61" t="str">
        <f t="shared" si="67"/>
        <v/>
      </c>
      <c r="F61" s="2" t="str">
        <f t="shared" si="70"/>
        <v/>
      </c>
      <c r="G61" s="6" t="str">
        <f t="shared" ref="G61:G70" si="72">IFERROR(IF(B61="","",IF(D61=INDEX(N:N,MATCH(C61,M:M,0)),"best bid "&amp;IF(LEFT(INDEX(P:P,MATCH(C61,M:M,0)),1)-1=0,"","("&amp;LEFT(INDEX(P:P,MATCH(C61,M:M,0)),1)-1&amp;" with you)"),INDEX(N:N,MATCH(C61,M:M,0))&amp; " bid")&amp;" / "&amp;IF(E61=INDEX(O:O,MATCH(C61,M:M,0)),"best offer "&amp;IF(LEFT(INDEX(Q:Q,MATCH(C61,M:M,0)),1)-1=0,"","("&amp;LEFT(INDEX(Q:Q,MATCH(C61,M:M,0)),1)-1&amp;" with you)"),INDEX(O:O,MATCH(C61,M:M,0))&amp;" offer")),"")</f>
        <v/>
      </c>
      <c r="H61" s="1" t="str">
        <f t="shared" si="71"/>
        <v/>
      </c>
      <c r="I61" s="6" t="str">
        <f>IF(B61="","Not in your run:",IF(H61="",B61,LEFT(C61,3)&amp;"-"&amp;RIGHT(C61,2)&amp;": "&amp;IFERROR(IF(SEARCH("bid",H61)&gt;0,VLOOKUP(C61,$M$3:$O$11,2,FALSE)&amp;"*",""),D61)&amp;"/"&amp;IFERROR(IF(SEARCH("offer",H61)&gt;0,VLOOKUP(C61,$M$3:$O$11,3,FALSE)&amp;"*",""),E61)))&amp;IF(I60="Not in your run","ok","")</f>
        <v>Not in your run:</v>
      </c>
    </row>
    <row r="62" spans="1:14" x14ac:dyDescent="0.25">
      <c r="A62" t="str">
        <f t="shared" si="68"/>
        <v/>
      </c>
      <c r="B62" s="100"/>
      <c r="C62" s="36" t="str">
        <f t="shared" si="69"/>
        <v/>
      </c>
      <c r="D62" t="str">
        <f t="shared" si="66"/>
        <v/>
      </c>
      <c r="E62" t="str">
        <f t="shared" si="67"/>
        <v/>
      </c>
      <c r="F62" s="2" t="str">
        <f t="shared" si="70"/>
        <v/>
      </c>
      <c r="G62" s="6" t="str">
        <f t="shared" si="72"/>
        <v/>
      </c>
      <c r="H62" s="1" t="str">
        <f t="shared" si="71"/>
        <v/>
      </c>
      <c r="I62" s="6" t="str">
        <f t="shared" ref="I62" si="73">IF(B62="","Not in your run:",IF(H62="",B62,LEFT(C62,3)&amp;"-"&amp;RIGHT(C62,2)&amp;": "&amp;IFERROR(IF(SEARCH("bid",H62)&gt;0,VLOOKUP(C62,$M$3:$O$11,2,FALSE)&amp;"*",""),D62)&amp;"/"&amp;IFERROR(IF(SEARCH("offer",H62)&gt;0,VLOOKUP(C62,$M$3:$O$11,3,FALSE)&amp;"*",""),E62)))&amp;IF(I61="Not in your run","ok","")</f>
        <v>Not in your run:</v>
      </c>
    </row>
    <row r="63" spans="1:14" x14ac:dyDescent="0.25">
      <c r="A63" t="str">
        <f t="shared" si="68"/>
        <v/>
      </c>
      <c r="B63" s="100"/>
      <c r="C63" s="36" t="str">
        <f t="shared" si="69"/>
        <v/>
      </c>
      <c r="D63" t="str">
        <f t="shared" si="66"/>
        <v/>
      </c>
      <c r="E63" t="str">
        <f t="shared" si="67"/>
        <v/>
      </c>
      <c r="F63" s="2" t="str">
        <f t="shared" si="70"/>
        <v/>
      </c>
      <c r="G63" s="6" t="str">
        <f t="shared" si="72"/>
        <v/>
      </c>
      <c r="H63" s="1" t="str">
        <f t="shared" si="71"/>
        <v/>
      </c>
      <c r="I63" s="6" t="str">
        <f>IF(AND(B63="",B62&lt;&gt;""),"Not in your run:",IF(H63="",B63,LEFT(C63,3)&amp;"-"&amp;RIGHT(C63,2)&amp;": "&amp;IFERROR(IF(SEARCH("bid",H63)&gt;0,VLOOKUP(C63,$M$3:$O$11,2,FALSE)&amp;"*",""),D63)&amp;"/"&amp;IFERROR(IF(SEARCH("offer",H63)&gt;0,VLOOKUP(C63,$M$3:$O$11,3,FALSE)&amp;"*",""),E63)))&amp;IF(AND(COUNTIF(I60:I62,"Not in your run:")&gt;0,LEFT(I61,7)&lt;&gt;"Dec-23:"),"Dec-23: " &amp;VLOOKUP("Dec23",$M$3:$O$11,2,FALSE)&amp; " / " &amp;VLOOKUP("Dec23",$M$3:$O$11,3,FALSE),"")</f>
        <v>Dec-23: 0 / 0</v>
      </c>
    </row>
    <row r="64" spans="1:14" x14ac:dyDescent="0.25">
      <c r="A64" t="str">
        <f t="shared" si="68"/>
        <v/>
      </c>
      <c r="B64" s="100"/>
      <c r="C64" s="36" t="str">
        <f t="shared" si="69"/>
        <v/>
      </c>
      <c r="D64" t="str">
        <f t="shared" si="66"/>
        <v/>
      </c>
      <c r="E64" t="str">
        <f t="shared" si="67"/>
        <v/>
      </c>
      <c r="F64" s="2" t="str">
        <f t="shared" si="70"/>
        <v/>
      </c>
      <c r="G64" s="6" t="str">
        <f t="shared" si="72"/>
        <v/>
      </c>
      <c r="H64" s="1" t="str">
        <f t="shared" si="71"/>
        <v/>
      </c>
      <c r="I64" s="6" t="str">
        <f>IF(AND(B64="",B63&lt;&gt;""),"Not in your run:",IF(H64="",B64,LEFT(C64,3)&amp;"-"&amp;RIGHT(C64,2)&amp;": "&amp;IFERROR(IF(SEARCH("bid",H64)&gt;0,VLOOKUP(C64,$M$3:$O$11,2,FALSE)&amp;"*",""),D64)&amp;"/"&amp;IFERROR(IF(SEARCH("offer",H64)&gt;0,VLOOKUP(C64,$M$3:$O$11,3,FALSE)&amp;"*",""),E64)))&amp;IF(AND(COUNTIF(I60:I63,"Not in your run:")&gt;0,LEFT(I62,7)&lt;&gt;"Dec-24:"),"Dec-24: " &amp;VLOOKUP("Dec24",$M$3:$O$11,2,FALSE)&amp; " / " &amp;VLOOKUP("Dec24",$M$3:$O$11,3,FALSE),"")</f>
        <v>Dec-24: 0 / 0</v>
      </c>
    </row>
    <row r="65" spans="1:9" x14ac:dyDescent="0.25">
      <c r="A65" t="str">
        <f t="shared" si="68"/>
        <v/>
      </c>
      <c r="B65" s="100"/>
      <c r="C65" s="36" t="str">
        <f t="shared" si="69"/>
        <v/>
      </c>
      <c r="D65" t="str">
        <f t="shared" si="66"/>
        <v/>
      </c>
      <c r="E65" t="str">
        <f t="shared" si="67"/>
        <v/>
      </c>
      <c r="F65" s="2" t="str">
        <f t="shared" si="70"/>
        <v/>
      </c>
      <c r="G65" s="6" t="str">
        <f t="shared" si="72"/>
        <v/>
      </c>
      <c r="H65" s="1" t="str">
        <f t="shared" si="71"/>
        <v/>
      </c>
      <c r="I65" s="6" t="str">
        <f>IF(AND(B65="",B64&lt;&gt;""),"Not in your run:",IF(H65="",B65,LEFT(C65,3)&amp;"-"&amp;RIGHT(C65,2)&amp;": "&amp;IFERROR(IF(SEARCH("bid",H65)&gt;0,VLOOKUP(C65,$M$3:$O$11,2,FALSE)&amp;"*",""),D65)&amp;"/"&amp;IFERROR(IF(SEARCH("offer",H65)&gt;0,VLOOKUP(C65,$M$3:$O$11,3,FALSE)&amp;"*",""),E65)))&amp;IF(AND(COUNTIF(I60:I64,"Not in your run:")&gt;0,LEFT(I63,7)&lt;&gt;"Dec-25:"),"Dec-25: " &amp;VLOOKUP("Dec25",$M$3:$O$11,2,FALSE)&amp; " / " &amp;VLOOKUP("Dec25",$M$3:$O$11,3,FALSE),"")</f>
        <v>Dec-25: 0 / 0</v>
      </c>
    </row>
    <row r="66" spans="1:9" x14ac:dyDescent="0.25">
      <c r="A66" t="str">
        <f t="shared" si="68"/>
        <v/>
      </c>
      <c r="B66" s="100"/>
      <c r="C66" s="36" t="str">
        <f t="shared" si="69"/>
        <v/>
      </c>
      <c r="D66" t="str">
        <f t="shared" si="66"/>
        <v/>
      </c>
      <c r="E66" t="str">
        <f t="shared" si="67"/>
        <v/>
      </c>
      <c r="F66" s="2" t="str">
        <f t="shared" si="70"/>
        <v/>
      </c>
      <c r="G66" s="6" t="str">
        <f t="shared" si="72"/>
        <v/>
      </c>
      <c r="H66" s="1" t="str">
        <f t="shared" si="71"/>
        <v/>
      </c>
      <c r="I66" s="6" t="str">
        <f>IF(AND(B66="",B65&lt;&gt;""),"Not in your run:",IF(H66="",B66,LEFT(C66,3)&amp;"-"&amp;RIGHT(C66,2)&amp;": "&amp;IFERROR(IF(SEARCH("bid",H66)&gt;0,VLOOKUP(C66,$M$3:$O$11,2,FALSE)&amp;"*",""),D66)&amp;"/"&amp;IFERROR(IF(SEARCH("offer",H66)&gt;0,VLOOKUP(C66,$M$3:$O$11,3,FALSE)&amp;"*",""),E66)))&amp;IF(AND(COUNTIF(I60:I65,"Not in your run:")&gt;0,LEFT(I64,7)&lt;&gt;"Dec-26:"),"Dec-26: " &amp;VLOOKUP("Dec26",$M$3:$O$11,2,FALSE)&amp; " / " &amp;VLOOKUP("Dec26",$M$3:$O$11,3,FALSE),"")</f>
        <v>Dec-26: 0 / 0</v>
      </c>
    </row>
    <row r="67" spans="1:9" x14ac:dyDescent="0.25">
      <c r="A67" t="str">
        <f t="shared" si="68"/>
        <v/>
      </c>
      <c r="B67" s="100"/>
      <c r="C67" s="36" t="str">
        <f t="shared" si="69"/>
        <v/>
      </c>
      <c r="D67" t="str">
        <f t="shared" si="66"/>
        <v/>
      </c>
      <c r="E67" t="str">
        <f t="shared" si="67"/>
        <v/>
      </c>
      <c r="F67" s="2" t="str">
        <f t="shared" si="70"/>
        <v/>
      </c>
      <c r="G67" s="6" t="str">
        <f t="shared" si="72"/>
        <v/>
      </c>
      <c r="H67" s="1" t="str">
        <f t="shared" si="71"/>
        <v/>
      </c>
      <c r="I67" s="6" t="str">
        <f>IF(AND(B67="",B66&lt;&gt;""),"Not in your run:",IF(H67="",B67,LEFT(C67,3)&amp;"-"&amp;RIGHT(C67,2)&amp;": "&amp;IFERROR(IF(SEARCH("bid",H67)&gt;0,VLOOKUP(C67,$M$3:$O$11,2,FALSE)&amp;"*",""),D67)&amp;"/"&amp;IFERROR(IF(SEARCH("offer",H67)&gt;0,VLOOKUP(C67,$M$3:$O$11,3,FALSE)&amp;"*",""),E67)))&amp;IF(AND(COUNTIF(I60:I66,"Not in your run:")&gt;0,LEFT(I65,7)&lt;&gt;"Dec-27:"),"Dec-27: " &amp;VLOOKUP("Dec27",$M$3:$O$11,2,FALSE)&amp; " / " &amp;VLOOKUP("Dec27",$M$3:$O$11,3,FALSE),"")</f>
        <v>Dec-27: 0 / 0</v>
      </c>
    </row>
    <row r="68" spans="1:9" x14ac:dyDescent="0.25">
      <c r="A68" t="str">
        <f t="shared" si="68"/>
        <v/>
      </c>
      <c r="B68" s="100"/>
      <c r="C68" s="36" t="str">
        <f t="shared" si="69"/>
        <v/>
      </c>
      <c r="D68" t="str">
        <f t="shared" si="66"/>
        <v/>
      </c>
      <c r="E68" t="str">
        <f t="shared" si="67"/>
        <v/>
      </c>
      <c r="F68" s="2" t="str">
        <f t="shared" si="70"/>
        <v/>
      </c>
      <c r="G68" s="6" t="str">
        <f t="shared" si="72"/>
        <v/>
      </c>
      <c r="H68" s="1" t="str">
        <f t="shared" si="71"/>
        <v/>
      </c>
      <c r="I68" s="6" t="str">
        <f>IF(AND(B68="",B67&lt;&gt;""),"Not in your run:",IF(H68="",B68,LEFT(C68,3)&amp;"-"&amp;RIGHT(C68,2)&amp;": "&amp;IFERROR(IF(SEARCH("bid",H68)&gt;0,VLOOKUP(C68,$M$3:$O$11,2,FALSE)&amp;"*",""),D68)&amp;"/"&amp;IFERROR(IF(SEARCH("offer",H68)&gt;0,VLOOKUP(C68,$M$3:$O$11,3,FALSE)&amp;"*",""),E68)))&amp;IF(AND(COUNTIF(I60:I67,"Not in your run:")&gt;0,LEFT(I66,7)&lt;&gt;"Dec-28:"),"Dec-28: " &amp;VLOOKUP("Dec28",$M$3:$O$11,2,FALSE)&amp; " / " &amp;VLOOKUP("Dec28",$M$3:$O$11,3,FALSE),"")</f>
        <v>Dec-28: 0 / 0</v>
      </c>
    </row>
    <row r="69" spans="1:9" x14ac:dyDescent="0.25">
      <c r="A69" t="str">
        <f t="shared" si="68"/>
        <v/>
      </c>
      <c r="B69" s="100"/>
      <c r="C69" s="36" t="str">
        <f t="shared" si="69"/>
        <v/>
      </c>
      <c r="D69" t="str">
        <f t="shared" si="66"/>
        <v/>
      </c>
      <c r="E69" t="str">
        <f t="shared" si="67"/>
        <v/>
      </c>
      <c r="F69" s="2" t="str">
        <f t="shared" si="70"/>
        <v/>
      </c>
      <c r="G69" s="6" t="str">
        <f t="shared" si="72"/>
        <v/>
      </c>
      <c r="H69" s="1" t="str">
        <f t="shared" si="71"/>
        <v/>
      </c>
      <c r="I69" s="6" t="str">
        <f>IF(AND(B69="",B68&lt;&gt;""),"Not in your run:",IF(H69="",B69,LEFT(C69,3)&amp;"-"&amp;RIGHT(C69,2)&amp;": "&amp;IFERROR(IF(SEARCH("bid",H69)&gt;0,VLOOKUP(C69,$M$3:$O$11,2,FALSE)&amp;"*",""),D69)&amp;"/"&amp;IFERROR(IF(SEARCH("offer",H69)&gt;0,VLOOKUP(C69,$M$3:$O$11,3,FALSE)&amp;"*",""),E69)))&amp;IF(AND(COUNTIF(I60:I68,"Not in your run:")&gt;0,LEFT(I67,7)&lt;&gt;"Dec-29:"),"Dec-29: " &amp;VLOOKUP("Dec29",$M$3:$O$11,2,FALSE)&amp; " / " &amp;VLOOKUP("Dec29",$M$3:$O$11,3,FALSE),"")</f>
        <v>Dec-29: 0 / 0</v>
      </c>
    </row>
    <row r="70" spans="1:9" x14ac:dyDescent="0.25">
      <c r="A70" s="3" t="str">
        <f t="shared" si="68"/>
        <v/>
      </c>
      <c r="B70" s="35"/>
      <c r="C70" s="37" t="str">
        <f>IF(B70="","",SUBSTITUTE(LEFT(B70,FIND(" ",B70)-1),"-",""))</f>
        <v/>
      </c>
      <c r="D70" s="4" t="str">
        <f t="shared" si="66"/>
        <v/>
      </c>
      <c r="E70" s="4" t="str">
        <f t="shared" si="67"/>
        <v/>
      </c>
      <c r="F70" s="5" t="str">
        <f t="shared" si="70"/>
        <v/>
      </c>
      <c r="G70" s="7" t="str">
        <f t="shared" si="72"/>
        <v/>
      </c>
      <c r="H70" s="3" t="str">
        <f t="shared" si="71"/>
        <v/>
      </c>
      <c r="I70" s="7" t="str">
        <f>IF(AND(B70="",B69&lt;&gt;""),"Not in your run:",IF(H70="",B70,LEFT(C70,3)&amp;"-"&amp;RIGHT(C70,2)&amp;": "&amp;IFERROR(IF(SEARCH("bid",H70)&gt;0,VLOOKUP(C70,$M$3:$O$11,2,FALSE)&amp;"*",""),D70)&amp;"/"&amp;IFERROR(IF(SEARCH("offer",H70)&gt;0,VLOOKUP(C70,$M$3:$O$11,3,FALSE)&amp;"*",""),E70)))&amp;IF(AND(COUNTIF(I60:I69,"Not in your run:")&gt;0,LEFT(I68,7)&lt;&gt;"Dec-30:"),"Dec-30: " &amp;VLOOKUP("Dec30",$M$3:$O$11,2,FALSE)&amp; " / " &amp;VLOOKUP("Dec30",$M$3:$O$11,3,FALSE),"")</f>
        <v>Dec-30: 0 / 0</v>
      </c>
    </row>
    <row r="73" spans="1:9" x14ac:dyDescent="0.25">
      <c r="C73" s="36" t="str">
        <f t="shared" ref="C73:C85" si="74">IF(B73="","",SUBSTITUTE(LEFT(B73,FIND(" ",B73)-1),"-",""))</f>
        <v/>
      </c>
      <c r="D73" t="str">
        <f t="shared" ref="D73:D85" si="75">IF(B73="","",IFERROR(IFERROR(VALUE(SUBSTITUTE(MID(B73,FIND(" ",B73),FIND("/",B73)-FIND(" ",B73))," ","")),IF(FIND("B",UPPER(B73)),VALUE(MID(B73,FIND(" ",B73),FIND("B",UPPER(B73))-FIND(" ",B73))),"")),""))</f>
        <v/>
      </c>
      <c r="E73" t="str">
        <f t="shared" ref="E73:E85" si="76">IF(B73="","",IFERROR(IFERROR(VALUE(SUBSTITUTE(RIGHT(B73,LEN(B73)-FIND("/",B73))," ","")),IF(FIND("O",UPPER(B73)),VALUE(MID(B73,FIND(" ",B73),FIND("O",UPPER(B73))-FIND(" ",B73))),"")),""))</f>
        <v/>
      </c>
      <c r="H73" t="str">
        <f>IFERROR(IF(B73="","",IF(D73=INDEX(N:N,MATCH(C73,M:M,0)),"you are best bid "&amp;IF(INDEX(P:P,MATCH(C73,M:M,0))-1=0,"","("&amp;INDEX(P:P,MATCH(C73,M:M,0))-1&amp;" with you)"),INDEX(N:N,MATCH(C73,M:M,0))&amp; " bid")&amp;" / "&amp;IF(E73=INDEX(O:O,MATCH(C73,M:M,0)),"you are best offer "&amp;IF(INDEX(Q:Q,MATCH(C73,M:M,0))-1=0,"","("&amp;INDEX(Q:Q,MATCH(C73,M:M,0))-1&amp;" with you)"),INDEX(O:O,MATCH(C73,M:M,0))&amp;" offer")),"")</f>
        <v/>
      </c>
      <c r="I73" s="39" t="str">
        <f xml:space="preserve"> "Send to " &amp;A74</f>
        <v>Send to NATIXIS</v>
      </c>
    </row>
    <row r="74" spans="1:9" x14ac:dyDescent="0.25">
      <c r="A74" s="32" t="s">
        <v>133</v>
      </c>
      <c r="B74" s="33"/>
      <c r="C74" s="40" t="str">
        <f t="shared" si="74"/>
        <v/>
      </c>
      <c r="D74" s="40" t="str">
        <f t="shared" si="75"/>
        <v/>
      </c>
      <c r="E74" s="40" t="str">
        <f t="shared" si="76"/>
        <v/>
      </c>
      <c r="F74" s="41" t="str">
        <f>IF(B74="","",VALUE(SUBSTITUTE(SUBSTITUTE(SUBSTITUTE(SUBSTITUTE(RIGHT(B74,LEN(B74)-FIND("vs",B74)+1),"basis",""),"vs","")," ",""),":","")))</f>
        <v/>
      </c>
      <c r="G74" s="42" t="s">
        <v>13</v>
      </c>
      <c r="H74" s="43" t="s">
        <v>14</v>
      </c>
      <c r="I74" s="6">
        <f>B74</f>
        <v>0</v>
      </c>
    </row>
    <row r="75" spans="1:9" x14ac:dyDescent="0.25">
      <c r="A75" t="str">
        <f t="shared" ref="A75:A85" si="77">IF(B75="","",IF(A74="",IF(A73="","",A73),A74))</f>
        <v/>
      </c>
      <c r="C75" s="36" t="str">
        <f t="shared" si="74"/>
        <v/>
      </c>
      <c r="D75" t="str">
        <f t="shared" si="75"/>
        <v/>
      </c>
      <c r="E75" t="str">
        <f t="shared" si="76"/>
        <v/>
      </c>
      <c r="F75" s="2" t="str">
        <f t="shared" ref="F75:F85" si="78">IF(B75="","",IF(F74="",IF(F73="","",F73),F74))</f>
        <v/>
      </c>
      <c r="H75" s="44" t="str">
        <f t="shared" ref="H75:H85" si="79">IFERROR(IF(B75="","",IF(D75=INDEX(N:N,MATCH(C75,M:M,0)),"",INDEX(N:N,MATCH(C75,M:M,0))&amp; " bid")&amp;IF(E75=INDEX(O:O,MATCH(C75,M:M,0)),"",IF(D75=INDEX(N:N,MATCH(C75,M:M,0)),INDEX(O:O,MATCH(C75,M:M,0))&amp;" offer"," / "&amp;INDEX(O:O,MATCH(C75,M:M,0))&amp;" offer"))),"")</f>
        <v/>
      </c>
      <c r="I75" s="6" t="str">
        <f t="shared" ref="I75:I85" si="80">IF(B75="","",IF(H75="",B75,B75&amp;" -&gt; "&amp;H75))</f>
        <v/>
      </c>
    </row>
    <row r="76" spans="1:9" x14ac:dyDescent="0.25">
      <c r="A76" t="str">
        <f t="shared" si="77"/>
        <v/>
      </c>
      <c r="B76" s="34"/>
      <c r="C76" s="36" t="str">
        <f t="shared" ref="C76:C84" si="81">IF(B76="","",SUBSTITUTE(SUBSTITUTE(LEFT(B76,FIND(" ",B76)-1),"-",""),":",""))</f>
        <v/>
      </c>
      <c r="D76" t="str">
        <f t="shared" si="75"/>
        <v/>
      </c>
      <c r="E76" t="str">
        <f t="shared" si="76"/>
        <v/>
      </c>
      <c r="F76" s="2" t="str">
        <f t="shared" si="78"/>
        <v/>
      </c>
      <c r="G76" s="6" t="str">
        <f t="shared" ref="G76:G85" si="82">IFERROR(IF(B76="","",IF(D76=INDEX(N:N,MATCH(C76,M:M,0)),"best bid "&amp;IF(LEFT(INDEX(P:P,MATCH(C76,M:M,0)),1)-1=0,"","("&amp;LEFT(INDEX(P:P,MATCH(C76,M:M,0)),1)-1&amp;" with you)"),INDEX(N:N,MATCH(C76,M:M,0))&amp; " bid")&amp;" / "&amp;IF(E76=INDEX(O:O,MATCH(C76,M:M,0)),"best offer "&amp;IF(LEFT(INDEX(Q:Q,MATCH(C76,M:M,0)),1)-1=0,"","("&amp;LEFT(INDEX(Q:Q,MATCH(C76,M:M,0)),1)-1&amp;" with you)"),INDEX(O:O,MATCH(C76,M:M,0))&amp;" offer")),"")</f>
        <v/>
      </c>
      <c r="H76" s="1" t="str">
        <f t="shared" si="79"/>
        <v/>
      </c>
      <c r="I76" s="6" t="str">
        <f>IF(A76&lt;&gt;"JP",IF(B76="","",IF(H76="",B76,B76&amp;" -&gt; "&amp;H76)),IF(B76="","",IF(G76="",B76,B76&amp;" -&gt; "&amp;G76)))</f>
        <v/>
      </c>
    </row>
    <row r="77" spans="1:9" x14ac:dyDescent="0.25">
      <c r="A77" t="str">
        <f t="shared" si="77"/>
        <v/>
      </c>
      <c r="B77" s="34"/>
      <c r="C77" s="36" t="str">
        <f t="shared" si="81"/>
        <v/>
      </c>
      <c r="D77" t="str">
        <f t="shared" si="75"/>
        <v/>
      </c>
      <c r="E77" t="str">
        <f t="shared" si="76"/>
        <v/>
      </c>
      <c r="F77" s="2" t="str">
        <f t="shared" si="78"/>
        <v/>
      </c>
      <c r="G77" s="6" t="str">
        <f t="shared" si="82"/>
        <v/>
      </c>
      <c r="H77" s="1" t="str">
        <f t="shared" si="79"/>
        <v/>
      </c>
      <c r="I77" s="6" t="str">
        <f t="shared" ref="I77:I83" si="83">IF(A77&lt;&gt;"JP",IF(B77="","",IF(H77="",B77,B77&amp;" -&gt; "&amp;H77)),IF(B77="","",IF(G77="",B77,B77&amp;" -&gt; "&amp;G77)))</f>
        <v/>
      </c>
    </row>
    <row r="78" spans="1:9" x14ac:dyDescent="0.25">
      <c r="A78" t="str">
        <f t="shared" si="77"/>
        <v/>
      </c>
      <c r="B78" s="34"/>
      <c r="C78" s="36" t="str">
        <f t="shared" si="81"/>
        <v/>
      </c>
      <c r="D78" t="str">
        <f t="shared" si="75"/>
        <v/>
      </c>
      <c r="E78" t="str">
        <f t="shared" si="76"/>
        <v/>
      </c>
      <c r="F78" s="2" t="str">
        <f t="shared" si="78"/>
        <v/>
      </c>
      <c r="G78" s="6" t="str">
        <f t="shared" si="82"/>
        <v/>
      </c>
      <c r="H78" s="1" t="str">
        <f t="shared" si="79"/>
        <v/>
      </c>
      <c r="I78" s="6" t="str">
        <f t="shared" si="83"/>
        <v/>
      </c>
    </row>
    <row r="79" spans="1:9" x14ac:dyDescent="0.25">
      <c r="A79" t="str">
        <f t="shared" si="77"/>
        <v/>
      </c>
      <c r="B79" s="34"/>
      <c r="C79" s="36" t="str">
        <f t="shared" si="81"/>
        <v/>
      </c>
      <c r="D79" t="str">
        <f t="shared" si="75"/>
        <v/>
      </c>
      <c r="E79" t="str">
        <f t="shared" si="76"/>
        <v/>
      </c>
      <c r="F79" s="2" t="str">
        <f t="shared" si="78"/>
        <v/>
      </c>
      <c r="G79" s="6" t="str">
        <f t="shared" si="82"/>
        <v/>
      </c>
      <c r="H79" s="1" t="str">
        <f t="shared" si="79"/>
        <v/>
      </c>
      <c r="I79" s="6" t="str">
        <f t="shared" si="83"/>
        <v/>
      </c>
    </row>
    <row r="80" spans="1:9" x14ac:dyDescent="0.25">
      <c r="A80" t="str">
        <f t="shared" si="77"/>
        <v/>
      </c>
      <c r="B80" s="34"/>
      <c r="C80" s="36" t="str">
        <f t="shared" si="81"/>
        <v/>
      </c>
      <c r="D80" t="str">
        <f t="shared" si="75"/>
        <v/>
      </c>
      <c r="E80" t="str">
        <f t="shared" si="76"/>
        <v/>
      </c>
      <c r="F80" s="2" t="str">
        <f t="shared" si="78"/>
        <v/>
      </c>
      <c r="G80" s="6" t="str">
        <f t="shared" si="82"/>
        <v/>
      </c>
      <c r="H80" s="1" t="str">
        <f t="shared" si="79"/>
        <v/>
      </c>
      <c r="I80" s="6" t="str">
        <f t="shared" si="83"/>
        <v/>
      </c>
    </row>
    <row r="81" spans="1:9" x14ac:dyDescent="0.25">
      <c r="A81" t="str">
        <f t="shared" si="77"/>
        <v/>
      </c>
      <c r="B81" s="34"/>
      <c r="C81" s="36" t="str">
        <f t="shared" si="81"/>
        <v/>
      </c>
      <c r="D81" t="str">
        <f t="shared" si="75"/>
        <v/>
      </c>
      <c r="E81" t="str">
        <f t="shared" si="76"/>
        <v/>
      </c>
      <c r="F81" s="2" t="str">
        <f t="shared" si="78"/>
        <v/>
      </c>
      <c r="G81" s="6" t="str">
        <f t="shared" si="82"/>
        <v/>
      </c>
      <c r="H81" s="1" t="str">
        <f t="shared" si="79"/>
        <v/>
      </c>
      <c r="I81" s="6" t="str">
        <f t="shared" si="83"/>
        <v/>
      </c>
    </row>
    <row r="82" spans="1:9" x14ac:dyDescent="0.25">
      <c r="A82" t="str">
        <f t="shared" si="77"/>
        <v/>
      </c>
      <c r="B82" s="34"/>
      <c r="C82" s="36" t="str">
        <f t="shared" si="81"/>
        <v/>
      </c>
      <c r="D82" t="str">
        <f t="shared" si="75"/>
        <v/>
      </c>
      <c r="E82" t="str">
        <f t="shared" si="76"/>
        <v/>
      </c>
      <c r="F82" s="2" t="str">
        <f t="shared" si="78"/>
        <v/>
      </c>
      <c r="G82" s="6" t="str">
        <f t="shared" si="82"/>
        <v/>
      </c>
      <c r="H82" s="1" t="str">
        <f t="shared" si="79"/>
        <v/>
      </c>
      <c r="I82" s="6" t="str">
        <f t="shared" si="83"/>
        <v/>
      </c>
    </row>
    <row r="83" spans="1:9" x14ac:dyDescent="0.25">
      <c r="A83" t="str">
        <f t="shared" si="77"/>
        <v/>
      </c>
      <c r="B83" s="34"/>
      <c r="C83" s="36" t="str">
        <f t="shared" si="81"/>
        <v/>
      </c>
      <c r="D83" t="str">
        <f t="shared" si="75"/>
        <v/>
      </c>
      <c r="E83" t="str">
        <f t="shared" si="76"/>
        <v/>
      </c>
      <c r="F83" s="2" t="str">
        <f t="shared" si="78"/>
        <v/>
      </c>
      <c r="G83" s="6" t="str">
        <f t="shared" si="82"/>
        <v/>
      </c>
      <c r="H83" s="1" t="str">
        <f t="shared" si="79"/>
        <v/>
      </c>
      <c r="I83" s="6" t="str">
        <f t="shared" si="83"/>
        <v/>
      </c>
    </row>
    <row r="84" spans="1:9" x14ac:dyDescent="0.25">
      <c r="A84" t="str">
        <f t="shared" si="77"/>
        <v/>
      </c>
      <c r="B84" s="34"/>
      <c r="C84" s="36" t="str">
        <f t="shared" si="81"/>
        <v/>
      </c>
      <c r="D84" t="str">
        <f t="shared" si="75"/>
        <v/>
      </c>
      <c r="E84" t="str">
        <f t="shared" si="76"/>
        <v/>
      </c>
      <c r="F84" s="2" t="str">
        <f t="shared" si="78"/>
        <v/>
      </c>
      <c r="G84" s="6" t="str">
        <f t="shared" si="82"/>
        <v/>
      </c>
      <c r="H84" s="1" t="str">
        <f t="shared" si="79"/>
        <v/>
      </c>
      <c r="I84" s="6" t="str">
        <f t="shared" ref="I84" si="84">IF(A84="JP",IF(B84="","",IF(H84="",B84,B84&amp;" -&gt; "&amp;H84)),IF(B84="","",IF(G84="",B84,B84&amp;" -&gt; "&amp;G84)))</f>
        <v/>
      </c>
    </row>
    <row r="85" spans="1:9" x14ac:dyDescent="0.25">
      <c r="A85" s="3" t="str">
        <f t="shared" si="77"/>
        <v/>
      </c>
      <c r="B85" s="35"/>
      <c r="C85" s="37" t="str">
        <f t="shared" si="74"/>
        <v/>
      </c>
      <c r="D85" s="4" t="str">
        <f t="shared" si="75"/>
        <v/>
      </c>
      <c r="E85" s="4" t="str">
        <f t="shared" si="76"/>
        <v/>
      </c>
      <c r="F85" s="5" t="str">
        <f t="shared" si="78"/>
        <v/>
      </c>
      <c r="G85" s="7" t="str">
        <f t="shared" si="82"/>
        <v/>
      </c>
      <c r="H85" s="3" t="str">
        <f t="shared" si="79"/>
        <v/>
      </c>
      <c r="I85" s="7" t="str">
        <f t="shared" si="80"/>
        <v/>
      </c>
    </row>
  </sheetData>
  <protectedRanges>
    <protectedRange algorithmName="SHA-512" hashValue="bGa0JHQvuAvS+CIKGv4h6jxolT8syN9swMMb451WFHyAfk57McW5GwQA1RhbORj5hvniJGuL62PrVv3pdjc9ww==" saltValue="aXftsKeSpNlupgcWY0GXTg==" spinCount="100000" sqref="A1:B1 A3 A10:B13 I2 A5:A8 B8 C3:I13" name="Range3_1"/>
    <protectedRange algorithmName="SHA-512" hashValue="GVv/MFTYnzm2lGIO/toeDUhxlXEj/JT0+gtwYcZI6livqgjUdI6GC9lrLPfm74cWjSCosISZOBjmOmtnl1jsOQ==" saltValue="k9KQjEAyaB/UH2kENNskWw==" spinCount="100000" sqref="AP1:AP12" name="Range2_1"/>
    <protectedRange algorithmName="SHA-512" hashValue="E9NtTKm8hxMbrMYlbkIXZmanQ/4KOhF0dVJVFCvuAm2cYeMZZYXGd/nw/svg50JGWpIgHECvS8brQLRl3kGwtw==" saltValue="NZ/xnAUFeS5d9MJ61UEUvw==" spinCount="100000" sqref="A1:B2 A26:B29 A16:A25 A40:B1048576 A30:A39 A10:B15 A3 A5:A8 B8 B16" name="Range1_1"/>
    <protectedRange algorithmName="SHA-512" hashValue="E9NtTKm8hxMbrMYlbkIXZmanQ/4KOhF0dVJVFCvuAm2cYeMZZYXGd/nw/svg50JGWpIgHECvS8brQLRl3kGwtw==" saltValue="NZ/xnAUFeS5d9MJ61UEUvw==" spinCount="100000" sqref="B17:B25" name="Range1_1_1"/>
    <protectedRange algorithmName="SHA-512" hashValue="E9NtTKm8hxMbrMYlbkIXZmanQ/4KOhF0dVJVFCvuAm2cYeMZZYXGd/nw/svg50JGWpIgHECvS8brQLRl3kGwtw==" saltValue="NZ/xnAUFeS5d9MJ61UEUvw==" spinCount="100000" sqref="B30:B39" name="Range1_1_2"/>
  </protectedRanges>
  <mergeCells count="2">
    <mergeCell ref="M2:O2"/>
    <mergeCell ref="M31:M41"/>
  </mergeCells>
  <conditionalFormatting sqref="M31:M41">
    <cfRule type="containsText" dxfId="14" priority="38" operator="containsText" text="CARE, NOT THE SAME BASIS">
      <formula>NOT(ISERROR(SEARCH("CARE, NOT THE SAME BASIS",M31)))</formula>
    </cfRule>
    <cfRule type="cellIs" dxfId="13" priority="39" operator="equal">
      <formula>"""CARE, NOT THE SAME BASIS"""</formula>
    </cfRule>
  </conditionalFormatting>
  <conditionalFormatting sqref="N17:N26">
    <cfRule type="expression" dxfId="12" priority="18">
      <formula>M17&lt;&gt;SUBSTITUTE(M17,"*","")</formula>
    </cfRule>
  </conditionalFormatting>
  <conditionalFormatting sqref="R3:R13">
    <cfRule type="notContainsBlanks" dxfId="11" priority="1">
      <formula>LEN(TRIM(R3))&gt;0</formula>
    </cfRule>
    <cfRule type="containsText" dxfId="10" priority="2" operator="containsText" text="MINE/YOURS">
      <formula>NOT(ISERROR(SEARCH("MINE/YOURS",R3)))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ournous">
                <anchor moveWithCells="1" sizeWithCells="1">
                  <from>
                    <xdr:col>16</xdr:col>
                    <xdr:colOff>428625</xdr:colOff>
                    <xdr:row>14</xdr:row>
                    <xdr:rowOff>114300</xdr:rowOff>
                  </from>
                  <to>
                    <xdr:col>17</xdr:col>
                    <xdr:colOff>285750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poureux">
                <anchor moveWithCells="1" sizeWithCells="1">
                  <from>
                    <xdr:col>16</xdr:col>
                    <xdr:colOff>390525</xdr:colOff>
                    <xdr:row>18</xdr:row>
                    <xdr:rowOff>28575</xdr:rowOff>
                  </from>
                  <to>
                    <xdr:col>17</xdr:col>
                    <xdr:colOff>266700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pourdem">
                <anchor moveWithCells="1" sizeWithCells="1">
                  <from>
                    <xdr:col>16</xdr:col>
                    <xdr:colOff>361950</xdr:colOff>
                    <xdr:row>22</xdr:row>
                    <xdr:rowOff>47625</xdr:rowOff>
                  </from>
                  <to>
                    <xdr:col>17</xdr:col>
                    <xdr:colOff>285750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_xludf.Clear">
                <anchor moveWithCells="1" sizeWithCells="1">
                  <from>
                    <xdr:col>17</xdr:col>
                    <xdr:colOff>981075</xdr:colOff>
                    <xdr:row>18</xdr:row>
                    <xdr:rowOff>85725</xdr:rowOff>
                  </from>
                  <to>
                    <xdr:col>18</xdr:col>
                    <xdr:colOff>66675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C675-EEDA-47FC-9590-0681FECB9BED}">
  <sheetPr codeName="Sheet4"/>
  <dimension ref="A1:AP85"/>
  <sheetViews>
    <sheetView topLeftCell="A12" zoomScale="85" zoomScaleNormal="85" workbookViewId="0">
      <selection activeCell="B16" sqref="B16"/>
    </sheetView>
  </sheetViews>
  <sheetFormatPr defaultRowHeight="15" outlineLevelCol="1" x14ac:dyDescent="0.25"/>
  <cols>
    <col min="2" max="2" width="25.5703125" bestFit="1" customWidth="1"/>
    <col min="3" max="6" width="9.140625" hidden="1" customWidth="1" outlineLevel="1"/>
    <col min="7" max="7" width="44.140625" hidden="1" customWidth="1" outlineLevel="1"/>
    <col min="8" max="8" width="17" hidden="1" customWidth="1" outlineLevel="1"/>
    <col min="9" max="9" width="58.5703125" customWidth="1" collapsed="1"/>
    <col min="10" max="10" width="58.42578125" hidden="1" customWidth="1" outlineLevel="1"/>
    <col min="11" max="11" width="9.140625" collapsed="1"/>
    <col min="12" max="12" width="8.42578125" customWidth="1"/>
    <col min="13" max="13" width="45.42578125" customWidth="1"/>
    <col min="14" max="14" width="9.5703125" customWidth="1"/>
    <col min="15" max="15" width="8.5703125" customWidth="1"/>
    <col min="16" max="16" width="18.7109375" style="9" customWidth="1"/>
    <col min="17" max="17" width="16.5703125" style="9" customWidth="1"/>
    <col min="18" max="18" width="30.85546875" bestFit="1" customWidth="1"/>
    <col min="20" max="20" width="9.140625" customWidth="1"/>
    <col min="21" max="40" width="9.140625" hidden="1" customWidth="1" outlineLevel="1"/>
    <col min="41" max="41" width="14" hidden="1" customWidth="1" outlineLevel="1"/>
    <col min="42" max="42" width="35" customWidth="1" collapsed="1"/>
  </cols>
  <sheetData>
    <row r="1" spans="1:42" ht="15.75" customHeight="1" x14ac:dyDescent="0.25">
      <c r="A1" s="32" t="s">
        <v>18</v>
      </c>
      <c r="B1" s="46"/>
      <c r="AP1" s="45" t="str">
        <f>"Tightest run colour " &amp;B16</f>
        <v xml:space="preserve">Tightest run colour </v>
      </c>
    </row>
    <row r="2" spans="1:42" x14ac:dyDescent="0.25">
      <c r="I2" t="str">
        <f t="shared" ref="I2:I4" si="0">IF(B2="","",IF(H2="",B2,B2&amp;" -&gt; "&amp;H2))</f>
        <v/>
      </c>
      <c r="M2" s="135" t="str">
        <f>M16</f>
        <v xml:space="preserve">Tightest FTSE TRF vs </v>
      </c>
      <c r="N2" s="136"/>
      <c r="O2" s="137"/>
      <c r="P2" s="29" t="s">
        <v>9</v>
      </c>
      <c r="Q2" s="30" t="s">
        <v>10</v>
      </c>
      <c r="U2" s="11" t="s">
        <v>11</v>
      </c>
      <c r="V2" s="12"/>
      <c r="W2" s="13"/>
      <c r="X2" s="13"/>
      <c r="Y2" s="12"/>
      <c r="Z2" s="12"/>
      <c r="AA2" s="12"/>
      <c r="AB2" s="12"/>
      <c r="AC2" s="12"/>
      <c r="AD2" s="14"/>
      <c r="AF2" s="11" t="s">
        <v>12</v>
      </c>
      <c r="AG2" s="12"/>
      <c r="AH2" s="13"/>
      <c r="AI2" s="13"/>
      <c r="AJ2" s="18" t="str" cm="1">
        <f t="array" ref="AJ2">IFERROR(INDEX(A:A,SMALL(IF(D:D=$N8,ROW(D:D)-ROW($D5)+1),ROWS(D:D))),"")</f>
        <v/>
      </c>
      <c r="AK2" s="12"/>
      <c r="AL2" s="12"/>
      <c r="AM2" s="12"/>
      <c r="AN2" s="12"/>
      <c r="AO2" s="12"/>
      <c r="AP2" s="6"/>
    </row>
    <row r="3" spans="1:42" x14ac:dyDescent="0.25">
      <c r="A3" t="s">
        <v>23</v>
      </c>
      <c r="I3" t="str">
        <f t="shared" si="0"/>
        <v/>
      </c>
      <c r="M3" s="1"/>
      <c r="O3" s="2"/>
      <c r="P3" s="25"/>
      <c r="Q3" s="26"/>
      <c r="U3" s="19">
        <f>N4</f>
        <v>0</v>
      </c>
      <c r="V3" s="20">
        <f>N5</f>
        <v>0</v>
      </c>
      <c r="W3" s="20">
        <f>N6</f>
        <v>0</v>
      </c>
      <c r="X3" s="20">
        <f>N7</f>
        <v>0</v>
      </c>
      <c r="Y3" s="20">
        <f>N8</f>
        <v>0</v>
      </c>
      <c r="Z3" s="20">
        <f>N9</f>
        <v>0</v>
      </c>
      <c r="AA3" s="20">
        <f>N10</f>
        <v>0</v>
      </c>
      <c r="AB3" s="20">
        <f>N11</f>
        <v>0</v>
      </c>
      <c r="AC3" s="20">
        <f>N12</f>
        <v>0</v>
      </c>
      <c r="AD3" s="21">
        <f>N13</f>
        <v>0</v>
      </c>
      <c r="AF3" s="19">
        <f>O4</f>
        <v>0</v>
      </c>
      <c r="AG3" s="20">
        <f>O5</f>
        <v>0</v>
      </c>
      <c r="AH3" s="20">
        <f>O6</f>
        <v>0</v>
      </c>
      <c r="AI3" s="20">
        <f>O7</f>
        <v>0</v>
      </c>
      <c r="AJ3" s="20">
        <f>O8</f>
        <v>0</v>
      </c>
      <c r="AK3" s="20">
        <f>O9</f>
        <v>0</v>
      </c>
      <c r="AL3" s="20">
        <f>O10</f>
        <v>0</v>
      </c>
      <c r="AM3" s="20">
        <f>O11</f>
        <v>0</v>
      </c>
      <c r="AN3" s="20">
        <f>O12</f>
        <v>0</v>
      </c>
      <c r="AO3" s="20">
        <f>O13</f>
        <v>0</v>
      </c>
      <c r="AP3" s="6" t="e" vm="1">
        <f>M4&amp;" ("&amp;LEFT(P4,1) &amp;") "&amp;N4&amp;"/"&amp; O4 &amp;" ("&amp; LEFT(Q4,1) &amp;")"</f>
        <v>#VALUE!</v>
      </c>
    </row>
    <row r="4" spans="1:42" x14ac:dyDescent="0.25">
      <c r="I4" t="str">
        <f t="shared" si="0"/>
        <v/>
      </c>
      <c r="M4" s="19" t="s">
        <v>0</v>
      </c>
      <c r="N4">
        <f>_xlfn.MAXIFS(D:D,C:C,M4)</f>
        <v>0</v>
      </c>
      <c r="O4" s="2">
        <f t="shared" ref="O4:O9" si="1">_xlfn.MINIFS(E:E,C:C,M4)</f>
        <v>0</v>
      </c>
      <c r="P4" s="25" t="e" vm="1">
        <f>COUNTIF(D:D,N4) &amp; " (" &amp;_xlfn.TEXTJOIN("/",TRUE,U4:U1048576)&amp; ")"</f>
        <v>#VALUE!</v>
      </c>
      <c r="Q4" s="26" t="e" vm="1">
        <f>COUNTIF(E:E,O4) &amp; " (" &amp;_xlfn.TEXTJOIN("/",TRUE,AF4:AF1048576)&amp; ")"</f>
        <v>#VALUE!</v>
      </c>
      <c r="U4" s="1" t="e" cm="1" vm="2">
        <f t="array" ref="U4">_xlfn._xlws.FILTER($A:$A,EXACT(U$3,$D:$D))</f>
        <v>#VALUE!</v>
      </c>
      <c r="V4" s="1" t="e" cm="1" vm="2">
        <f t="array" ref="V4">_xlfn._xlws.FILTER($A:$A,EXACT(V$3,$D:$D))</f>
        <v>#VALUE!</v>
      </c>
      <c r="W4" s="1" t="e" cm="1" vm="2">
        <f t="array" ref="W4">_xlfn._xlws.FILTER($A:$A,EXACT(W$3,$D:$D))</f>
        <v>#VALUE!</v>
      </c>
      <c r="X4" s="1" t="e" cm="1" vm="2">
        <f t="array" ref="X4">_xlfn._xlws.FILTER($A:$A,EXACT(X$3,$D:$D))</f>
        <v>#VALUE!</v>
      </c>
      <c r="Y4" s="1" t="e" cm="1" vm="2">
        <f t="array" ref="Y4">_xlfn._xlws.FILTER($A:$A,EXACT(Y$3,$D:$D))</f>
        <v>#VALUE!</v>
      </c>
      <c r="Z4" s="1" t="e" cm="1" vm="2">
        <f t="array" ref="Z4">_xlfn._xlws.FILTER($A:$A,EXACT(Z$3,$D:$D))</f>
        <v>#VALUE!</v>
      </c>
      <c r="AA4" s="1" t="e" cm="1" vm="2">
        <f t="array" ref="AA4">_xlfn._xlws.FILTER($A:$A,EXACT(AA$3,$D:$D))</f>
        <v>#VALUE!</v>
      </c>
      <c r="AB4" s="1" t="e" cm="1" vm="2">
        <f t="array" ref="AB4">_xlfn._xlws.FILTER($A:$A,EXACT(AB$3,$D:$D))</f>
        <v>#VALUE!</v>
      </c>
      <c r="AC4" s="1" t="e" cm="1" vm="2">
        <f t="array" ref="AC4">_xlfn._xlws.FILTER($A:$A,EXACT(AC$3,$D:$D))</f>
        <v>#VALUE!</v>
      </c>
      <c r="AD4" s="6" t="e" cm="1" vm="2">
        <f t="array" ref="AD4">_xlfn._xlws.FILTER($A:$A,EXACT(AD$3,$D:$D))</f>
        <v>#VALUE!</v>
      </c>
      <c r="AF4" s="1" t="e" cm="1" vm="2">
        <f t="array" ref="AF4">_xlfn._xlws.FILTER($A:$A,EXACT(AF$3,$E:$E))</f>
        <v>#VALUE!</v>
      </c>
      <c r="AG4" s="1" t="e" cm="1" vm="2">
        <f t="array" ref="AG4">_xlfn._xlws.FILTER($A:$A,EXACT(AG$3,$E:$E))</f>
        <v>#VALUE!</v>
      </c>
      <c r="AH4" s="1" t="e" cm="1" vm="2">
        <f t="array" ref="AH4">_xlfn._xlws.FILTER($A:$A,EXACT(AH$3,$E:$E))</f>
        <v>#VALUE!</v>
      </c>
      <c r="AI4" s="1" t="e" cm="1" vm="2">
        <f t="array" ref="AI4">_xlfn._xlws.FILTER($A:$A,EXACT(AI$3,$E:$E))</f>
        <v>#VALUE!</v>
      </c>
      <c r="AJ4" s="1" t="e" cm="1" vm="2">
        <f t="array" ref="AJ4">_xlfn._xlws.FILTER($A:$A,EXACT(AJ$3,$E:$E))</f>
        <v>#VALUE!</v>
      </c>
      <c r="AK4" s="1" t="e" cm="1" vm="2">
        <f t="array" ref="AK4">_xlfn._xlws.FILTER($A:$A,EXACT(AK$3,$E:$E))</f>
        <v>#VALUE!</v>
      </c>
      <c r="AL4" s="1" t="e" cm="1" vm="2">
        <f t="array" ref="AL4">_xlfn._xlws.FILTER($A:$A,EXACT(AL$3,$E:$E))</f>
        <v>#VALUE!</v>
      </c>
      <c r="AM4" s="1" t="e" cm="1" vm="2">
        <f t="array" ref="AM4">_xlfn._xlws.FILTER($A:$A,EXACT(AM$3,$E:$E))</f>
        <v>#VALUE!</v>
      </c>
      <c r="AN4" s="1" t="e" cm="1" vm="2">
        <f t="array" ref="AN4">_xlfn._xlws.FILTER($A:$A,EXACT(AN$3,$E:$E))</f>
        <v>#VALUE!</v>
      </c>
      <c r="AO4" s="1" t="e" cm="1" vm="2">
        <f t="array" ref="AO4">_xlfn._xlws.FILTER($A:$A,EXACT(AO$3,$E:$E))</f>
        <v>#VALUE!</v>
      </c>
      <c r="AP4" s="6" t="e" vm="1">
        <f t="shared" ref="AP4:AP11" si="2">M5&amp;" ("&amp;LEFT(P5,1) &amp;") "&amp;N5&amp;"/"&amp; O5 &amp;" ("&amp; LEFT(Q5,1) &amp;")"</f>
        <v>#VALUE!</v>
      </c>
    </row>
    <row r="5" spans="1:42" x14ac:dyDescent="0.25">
      <c r="A5" t="s">
        <v>20</v>
      </c>
      <c r="C5" t="str">
        <f t="shared" ref="C5" si="3">IF(B5="","",SUBSTITUTE(LEFT(B5,FIND(" ",B5)-1),"-",""))</f>
        <v/>
      </c>
      <c r="D5" t="str">
        <f t="shared" ref="D5" si="4">IF(B5="","",IFERROR(IFERROR(VALUE(SUBSTITUTE(MID(B5,FIND(" ",B5),FIND("/",B5)-FIND(" ",B5))," ","")),IF(FIND("B",UPPER(B5)),VALUE(MID(B5,FIND(" ",B5),FIND("B",UPPER(B5))-FIND(" ",B5))),"")),""))</f>
        <v/>
      </c>
      <c r="E5" t="str">
        <f t="shared" ref="E5" si="5">IF(B5="","",IFERROR(IFERROR(VALUE(SUBSTITUTE(RIGHT(B5,LEN(B5)-FIND("/",B5))," ","")),IF(FIND("O",UPPER(B5)),VALUE(MID(B5,FIND(" ",B5),FIND("O",UPPER(B5))-FIND(" ",B5))),"")),""))</f>
        <v/>
      </c>
      <c r="F5" t="str">
        <f t="shared" ref="F5" si="6">IF(B5="","",IF(F4="",IF(F3="","",F3),F4))</f>
        <v/>
      </c>
      <c r="H5" t="str">
        <f t="shared" ref="H5" si="7">IFERROR(IF(B5="","",IF(D5=INDEX(N:N,MATCH(C5,M:M,0)),"",INDEX(N:N,MATCH(C5,M:M,0))&amp; " bid")&amp;IF(E5=INDEX(O:O,MATCH(C5,M:M,0)),"",IF(D5=INDEX(N:N,MATCH(C5,M:M,0)),INDEX(O:O,MATCH(C5,M:M,0))&amp;" offer"," / "&amp;INDEX(O:O,MATCH(C5,M:M,0))&amp;" offer"))),"")</f>
        <v/>
      </c>
      <c r="I5" t="s">
        <v>24</v>
      </c>
      <c r="M5" s="19" t="s">
        <v>1</v>
      </c>
      <c r="N5">
        <f t="shared" ref="N5:N9" si="8">_xlfn.MAXIFS(D:D,C:C,M5)</f>
        <v>0</v>
      </c>
      <c r="O5" s="2">
        <f>_xlfn.MINIFS(E:E,C:C,M5)</f>
        <v>0</v>
      </c>
      <c r="P5" s="25" t="e" vm="1">
        <f>COUNTIF(D:D,N5) &amp; " (" &amp;_xlfn.TEXTJOIN("/",TRUE,V4:V1048576)&amp; ")"</f>
        <v>#VALUE!</v>
      </c>
      <c r="Q5" s="26" t="e" vm="1">
        <f>COUNTIF(E:E,O5)&amp; " (" &amp;_xlfn.TEXTJOIN("/",TRUE,AG4:AG1048576)&amp; ")"</f>
        <v>#VALUE!</v>
      </c>
      <c r="U5" s="1"/>
      <c r="AD5" s="2"/>
      <c r="AF5" s="1"/>
      <c r="AP5" s="6" t="e" vm="1">
        <f t="shared" si="2"/>
        <v>#VALUE!</v>
      </c>
    </row>
    <row r="6" spans="1:42" x14ac:dyDescent="0.25">
      <c r="A6" t="s">
        <v>20</v>
      </c>
      <c r="C6" t="str">
        <f>IF(B6="","",SUBSTITUTE(LEFT(B6,FIND(" ",B6)-1),"-",""))</f>
        <v/>
      </c>
      <c r="D6" t="str">
        <f>IF(B6="","",IFERROR(IFERROR(VALUE(SUBSTITUTE(MID(B6,FIND(" ",B6),FIND("/",B6)-FIND(" ",B6))," ","")),IF(FIND("B",UPPER(B6)),VALUE(MID(B6,FIND(" ",B6),FIND("B",UPPER(B6))-FIND(" ",B6))),"")),""))</f>
        <v/>
      </c>
      <c r="E6" t="str">
        <f>IF(B6="","",IFERROR(IFERROR(VALUE(SUBSTITUTE(RIGHT(B6,LEN(B6)-FIND("/",B6))," ","")),IF(FIND("O",UPPER(B6)),VALUE(MID(B6,FIND(" ",B6),FIND("O",UPPER(B6))-FIND(" ",B6))),"")),""))</f>
        <v/>
      </c>
      <c r="F6" t="str">
        <f>IF(B6="","",IF(F5="",IF(F4="","",F4),F5))</f>
        <v/>
      </c>
      <c r="H6" t="str">
        <f>IFERROR(IF(B6="","",IF(D6=INDEX(N:N,MATCH(C6,M:M,0)),"",INDEX(N:N,MATCH(C6,M:M,0))&amp; " bid")&amp;IF(E6=INDEX(O:O,MATCH(C6,M:M,0)),"",IF(D6=INDEX(N:N,MATCH(C6,M:M,0)),INDEX(O:O,MATCH(C6,M:M,0))&amp;" offer"," / "&amp;INDEX(O:O,MATCH(C6,M:M,0))&amp;" offer"))),"")</f>
        <v/>
      </c>
      <c r="I6" t="str">
        <f>IF(B6="","",IF(H6="",B6,B6&amp;" -&gt; "&amp;H6))</f>
        <v/>
      </c>
      <c r="M6" s="19" t="s">
        <v>2</v>
      </c>
      <c r="N6">
        <f t="shared" si="8"/>
        <v>0</v>
      </c>
      <c r="O6" s="2">
        <f t="shared" si="1"/>
        <v>0</v>
      </c>
      <c r="P6" s="25" t="e" vm="1">
        <f>COUNTIF(D:D,N6) &amp; " (" &amp;_xlfn.TEXTJOIN("/",TRUE,W4:W1048576)&amp; ")"</f>
        <v>#VALUE!</v>
      </c>
      <c r="Q6" s="26" t="e" vm="1">
        <f>COUNTIF(E:E,O6)&amp; " (" &amp;_xlfn.TEXTJOIN("/",TRUE,AH4:AH1048576)&amp; ")"</f>
        <v>#VALUE!</v>
      </c>
      <c r="U6" s="1"/>
      <c r="AD6" s="2"/>
      <c r="AF6" s="1"/>
      <c r="AP6" s="6" t="e" vm="1">
        <f t="shared" si="2"/>
        <v>#VALUE!</v>
      </c>
    </row>
    <row r="7" spans="1:42" x14ac:dyDescent="0.25">
      <c r="A7" t="s">
        <v>19</v>
      </c>
      <c r="C7" t="str">
        <f>IF(B7="","",SUBSTITUTE(LEFT(B7,FIND(" ",B7)-1),"-",""))</f>
        <v/>
      </c>
      <c r="D7" t="str">
        <f>IF(B7="","",IFERROR(IFERROR(VALUE(SUBSTITUTE(MID(B7,FIND(" ",B7),FIND("/",B7)-FIND(" ",B7))," ","")),IF(FIND("B",UPPER(B7)),VALUE(MID(B7,FIND(" ",B7),FIND("B",UPPER(B7))-FIND(" ",B7))),"")),""))</f>
        <v/>
      </c>
      <c r="E7" t="str">
        <f>IF(B7="","",IFERROR(IFERROR(VALUE(SUBSTITUTE(RIGHT(B7,LEN(B7)-FIND("/",B7))," ","")),IF(FIND("O",UPPER(B7)),VALUE(MID(B7,FIND(" ",B7),FIND("O",UPPER(B7))-FIND(" ",B7))),"")),""))</f>
        <v/>
      </c>
      <c r="F7" t="str">
        <f>IF(B7="","",IF(F6="",IF(F5="","",F5),F6))</f>
        <v/>
      </c>
      <c r="H7" t="str">
        <f>IFERROR(IF(B7="","",IF(D7=INDEX(N:N,MATCH(C7,M:M,0)),"",INDEX(N:N,MATCH(C7,M:M,0))&amp; " bid")&amp;IF(E7=INDEX(O:O,MATCH(C7,M:M,0)),"",IF(D7=INDEX(N:N,MATCH(C7,M:M,0)),INDEX(O:O,MATCH(C7,M:M,0))&amp;" offer"," / "&amp;INDEX(O:O,MATCH(C7,M:M,0))&amp;" offer"))),"")</f>
        <v/>
      </c>
      <c r="I7" t="str">
        <f>IF(B7="","",IF(H7="",B7,B7&amp;" -&gt; "&amp;H7))</f>
        <v/>
      </c>
      <c r="M7" s="19" t="s">
        <v>3</v>
      </c>
      <c r="N7">
        <f t="shared" si="8"/>
        <v>0</v>
      </c>
      <c r="O7" s="2">
        <f t="shared" si="1"/>
        <v>0</v>
      </c>
      <c r="P7" s="25" t="e" vm="1">
        <f>COUNTIF(D:D,N7) &amp; " (" &amp;_xlfn.TEXTJOIN("/",TRUE,X4:X1048576)&amp; ")"</f>
        <v>#VALUE!</v>
      </c>
      <c r="Q7" s="26" t="e" vm="1">
        <f>COUNTIF(E:E,O7)&amp; " (" &amp;_xlfn.TEXTJOIN("/",TRUE,AI4:AI1048576)&amp; ")"</f>
        <v>#VALUE!</v>
      </c>
      <c r="U7" s="1"/>
      <c r="W7" s="9"/>
      <c r="X7" s="9"/>
      <c r="Y7" s="10" t="str" cm="1">
        <f t="array" ref="Y7">IFERROR(INDEX(A1:A100, SMALL(IF(N4 = D1:D100, ROW(A1:A100) - 3, ""), COLUMN() - 11)), "")</f>
        <v/>
      </c>
      <c r="Z7" s="10"/>
      <c r="AA7" s="10"/>
      <c r="AB7" s="10"/>
      <c r="AC7" s="10"/>
      <c r="AD7" s="15"/>
      <c r="AF7" s="1"/>
      <c r="AH7" s="9"/>
      <c r="AI7" s="9"/>
      <c r="AJ7" s="10" cm="1">
        <f t="array" ref="AJ7">IFERROR(INDEX(A:A,SMALL(IF(D:D=$N13,ROW(D:D)-ROW($D10)+1),ROWS(D:D))),"")</f>
        <v>0</v>
      </c>
      <c r="AP7" s="6" t="e" vm="1">
        <f t="shared" si="2"/>
        <v>#VALUE!</v>
      </c>
    </row>
    <row r="8" spans="1:42" x14ac:dyDescent="0.25">
      <c r="C8" t="str">
        <f t="shared" ref="C8:C58" si="9">IF(B8="","",SUBSTITUTE(LEFT(B8,FIND(" ",B8)-1),"-",""))</f>
        <v/>
      </c>
      <c r="D8" t="str">
        <f t="shared" ref="D8:D28" si="10">IF(B8="","",IFERROR(IFERROR(VALUE(SUBSTITUTE(MID(B8,FIND(" ",B8),FIND("/",B8)-FIND(" ",B8))," ","")),IF(FIND("B",UPPER(B8)),VALUE(MID(B8,FIND(" ",B8),FIND("B",UPPER(B8))-FIND(" ",B8))),"")),""))</f>
        <v/>
      </c>
      <c r="E8" t="str">
        <f t="shared" ref="E8:E28" si="11">IF(B8="","",IFERROR(IFERROR(VALUE(SUBSTITUTE(RIGHT(B8,LEN(B8)-FIND("/",B8))," ","")),IF(FIND("O",UPPER(B8)),VALUE(MID(B8,FIND(" ",B8),FIND("O",UPPER(B8))-FIND(" ",B8))),"")),""))</f>
        <v/>
      </c>
      <c r="F8" t="str">
        <f t="shared" ref="F8:F13" si="12">IF(B8="","",IF(F7="",IF(F6="","",F6),F7))</f>
        <v/>
      </c>
      <c r="H8" t="str">
        <f t="shared" ref="H8:H13" si="13">IFERROR(IF(B8="","",IF(D8=INDEX(N:N,MATCH(C8,M:M,0)),"",INDEX(N:N,MATCH(C8,M:M,0))&amp; " bid")&amp;IF(E8=INDEX(O:O,MATCH(C8,M:M,0)),"",IF(D8=INDEX(N:N,MATCH(C8,M:M,0)),INDEX(O:O,MATCH(C8,M:M,0))&amp;" offer"," / "&amp;INDEX(O:O,MATCH(C8,M:M,0))&amp;" offer"))),"")</f>
        <v/>
      </c>
      <c r="I8" t="str">
        <f t="shared" ref="I8:I13" si="14">IF(B8="","",IF(H8="",B8,B8&amp;" -&gt; "&amp;H8))</f>
        <v/>
      </c>
      <c r="M8" s="19" t="s">
        <v>4</v>
      </c>
      <c r="N8">
        <f t="shared" si="8"/>
        <v>0</v>
      </c>
      <c r="O8" s="2">
        <f t="shared" si="1"/>
        <v>0</v>
      </c>
      <c r="P8" s="25" t="e" vm="1">
        <f>COUNTIF(D:D,N8) &amp; " (" &amp;_xlfn.TEXTJOIN("/",TRUE,Y4:Y1048576)&amp; ")"</f>
        <v>#VALUE!</v>
      </c>
      <c r="Q8" s="26" t="e" vm="1">
        <f>COUNTIF(E:E,O8)&amp; " (" &amp;_xlfn.TEXTJOIN("/",TRUE,AJ4:AJ1048576)&amp; ")"</f>
        <v>#VALUE!</v>
      </c>
      <c r="U8" s="1"/>
      <c r="W8" s="9"/>
      <c r="X8" s="9"/>
      <c r="Y8" s="10" t="str" cm="1">
        <f t="array" ref="Y8">IFERROR(INDEX(A:A,SMALL(IF(D:D=$N5,ROW(D:D)-ROW($D2)+1),ROWS(D:D))),"")</f>
        <v/>
      </c>
      <c r="AD8" s="2"/>
      <c r="AF8" s="1"/>
      <c r="AH8" s="9"/>
      <c r="AI8" s="9"/>
      <c r="AP8" s="6" t="e" vm="1">
        <f t="shared" si="2"/>
        <v>#VALUE!</v>
      </c>
    </row>
    <row r="9" spans="1:42" x14ac:dyDescent="0.25">
      <c r="A9" t="s">
        <v>21</v>
      </c>
      <c r="C9" t="str">
        <f t="shared" si="9"/>
        <v/>
      </c>
      <c r="D9" t="str">
        <f t="shared" si="10"/>
        <v/>
      </c>
      <c r="E9" t="str">
        <f t="shared" si="11"/>
        <v/>
      </c>
      <c r="F9" t="str">
        <f t="shared" si="12"/>
        <v/>
      </c>
      <c r="H9" t="str">
        <f t="shared" si="13"/>
        <v/>
      </c>
      <c r="I9" t="str">
        <f t="shared" si="14"/>
        <v/>
      </c>
      <c r="M9" s="62" t="s">
        <v>5</v>
      </c>
      <c r="N9">
        <f t="shared" si="8"/>
        <v>0</v>
      </c>
      <c r="O9" s="2">
        <f t="shared" si="1"/>
        <v>0</v>
      </c>
      <c r="P9" s="25" t="e" vm="1">
        <f>COUNTIF(D:D,N9) &amp; " (" &amp;_xlfn.TEXTJOIN("/",TRUE,Z4:Z1048576)&amp; ")"</f>
        <v>#VALUE!</v>
      </c>
      <c r="Q9" s="26" t="e" vm="1">
        <f>COUNTIF(E:E,O9)&amp; " (" &amp;_xlfn.TEXTJOIN("/",TRUE,AK4:AK1048576)&amp; ")"</f>
        <v>#VALUE!</v>
      </c>
      <c r="U9" s="3"/>
      <c r="V9" s="4"/>
      <c r="W9" s="16"/>
      <c r="X9" s="16"/>
      <c r="Y9" s="17" t="str" cm="1">
        <f t="array" ref="Y9">IFERROR(INDEX(A:A,SMALL(IF(D:D=$N6,ROW(D:D)-ROW($D3)+1),ROWS(D:D))),"")</f>
        <v/>
      </c>
      <c r="Z9" s="4"/>
      <c r="AA9" s="4"/>
      <c r="AB9" s="4"/>
      <c r="AC9" s="4"/>
      <c r="AD9" s="5"/>
      <c r="AF9" s="3"/>
      <c r="AG9" s="4"/>
      <c r="AH9" s="16"/>
      <c r="AI9" s="16"/>
      <c r="AJ9" s="4"/>
      <c r="AK9" s="4"/>
      <c r="AL9" s="4"/>
      <c r="AM9" s="4"/>
      <c r="AN9" s="4"/>
      <c r="AO9" s="4"/>
      <c r="AP9" s="6" t="str">
        <f t="shared" si="2"/>
        <v xml:space="preserve"> () / ()</v>
      </c>
    </row>
    <row r="10" spans="1:42" x14ac:dyDescent="0.25">
      <c r="C10" t="str">
        <f t="shared" si="9"/>
        <v/>
      </c>
      <c r="D10" t="str">
        <f t="shared" si="10"/>
        <v/>
      </c>
      <c r="E10" t="str">
        <f t="shared" si="11"/>
        <v/>
      </c>
      <c r="F10" t="str">
        <f t="shared" si="12"/>
        <v/>
      </c>
      <c r="H10" t="str">
        <f t="shared" si="13"/>
        <v/>
      </c>
      <c r="I10" t="str">
        <f t="shared" si="14"/>
        <v/>
      </c>
      <c r="M10" s="19"/>
      <c r="O10" s="2"/>
      <c r="P10" s="25"/>
      <c r="Q10" s="26"/>
      <c r="AP10" s="6" t="str">
        <f t="shared" si="2"/>
        <v xml:space="preserve"> () / ()</v>
      </c>
    </row>
    <row r="11" spans="1:42" x14ac:dyDescent="0.25">
      <c r="A11" t="s">
        <v>22</v>
      </c>
      <c r="C11" t="str">
        <f t="shared" si="9"/>
        <v/>
      </c>
      <c r="D11" t="str">
        <f t="shared" si="10"/>
        <v/>
      </c>
      <c r="E11" t="str">
        <f t="shared" si="11"/>
        <v/>
      </c>
      <c r="F11" t="str">
        <f t="shared" si="12"/>
        <v/>
      </c>
      <c r="H11" t="str">
        <f t="shared" si="13"/>
        <v/>
      </c>
      <c r="I11" t="str">
        <f t="shared" si="14"/>
        <v/>
      </c>
      <c r="M11" s="19"/>
      <c r="O11" s="2"/>
      <c r="P11" s="25"/>
      <c r="Q11" s="26"/>
      <c r="AP11" s="6" t="str">
        <f t="shared" si="2"/>
        <v xml:space="preserve"> () / ()</v>
      </c>
    </row>
    <row r="12" spans="1:42" x14ac:dyDescent="0.25">
      <c r="A12" t="s">
        <v>17</v>
      </c>
      <c r="C12" t="str">
        <f t="shared" si="9"/>
        <v/>
      </c>
      <c r="D12" t="str">
        <f t="shared" si="10"/>
        <v/>
      </c>
      <c r="E12" t="str">
        <f t="shared" si="11"/>
        <v/>
      </c>
      <c r="F12" t="str">
        <f t="shared" si="12"/>
        <v/>
      </c>
      <c r="H12" t="str">
        <f t="shared" si="13"/>
        <v/>
      </c>
      <c r="I12" t="str">
        <f t="shared" si="14"/>
        <v/>
      </c>
      <c r="M12" s="31"/>
      <c r="O12" s="2"/>
      <c r="P12" s="25"/>
      <c r="Q12" s="26"/>
      <c r="AP12" s="7"/>
    </row>
    <row r="13" spans="1:42" x14ac:dyDescent="0.25">
      <c r="A13" t="s">
        <v>17</v>
      </c>
      <c r="C13" t="str">
        <f t="shared" si="9"/>
        <v/>
      </c>
      <c r="D13" t="str">
        <f t="shared" si="10"/>
        <v/>
      </c>
      <c r="E13" t="str">
        <f t="shared" si="11"/>
        <v/>
      </c>
      <c r="F13" t="str">
        <f t="shared" si="12"/>
        <v/>
      </c>
      <c r="H13" t="str">
        <f t="shared" si="13"/>
        <v/>
      </c>
      <c r="I13" t="str">
        <f t="shared" si="14"/>
        <v/>
      </c>
      <c r="M13" s="31"/>
      <c r="N13" s="4"/>
      <c r="O13" s="5"/>
      <c r="P13" s="27"/>
      <c r="Q13" s="28"/>
    </row>
    <row r="14" spans="1:42" x14ac:dyDescent="0.25">
      <c r="C14" s="36"/>
      <c r="H14" t="str">
        <f>IFERROR(IF(B14="","",IF(D14=INDEX(N:N,MATCH(C14,M:M,0)),"you are best bid "&amp;IF(INDEX(P:P,MATCH(C14,M:M,0))-1=0,"","("&amp;INDEX(P:P,MATCH(C14,M:M,0))-1&amp;" with you)"),INDEX(N:N,MATCH(C14,M:M,0))&amp; " bid")&amp;" / "&amp;IF(E14=INDEX(O:O,MATCH(C14,M:M,0)),"you are best offer "&amp;IF(INDEX(Q:Q,MATCH(C14,M:M,0))-1=0,"","("&amp;INDEX(Q:Q,MATCH(C14,M:M,0))-1&amp;" with you)"),INDEX(O:O,MATCH(C14,M:M,0))&amp;" offer")),"")</f>
        <v/>
      </c>
      <c r="I14" t="str">
        <f>IFERROR(IF(H14="","",C14&amp;" "&amp;INDEX(N:N,MATCH(C14,M:M,0))&amp;" / "&amp;INDEX(O:O,MATCH(C14,M:M,0))&amp;" : "&amp;H14),B14)</f>
        <v/>
      </c>
    </row>
    <row r="15" spans="1:42" x14ac:dyDescent="0.25">
      <c r="C15" s="37" t="str">
        <f t="shared" si="9"/>
        <v/>
      </c>
      <c r="D15" s="37"/>
      <c r="E15" s="37"/>
      <c r="F15" s="37"/>
      <c r="G15" s="37"/>
      <c r="H15" s="38"/>
      <c r="I15" s="39" t="str">
        <f xml:space="preserve"> "Your feedback Ankur"</f>
        <v>Your feedback Ankur</v>
      </c>
      <c r="J15" s="8" t="str">
        <f>"Send to "&amp;A16 &amp; " V2 report"</f>
        <v>Send to JP V2 report</v>
      </c>
    </row>
    <row r="16" spans="1:42" x14ac:dyDescent="0.25">
      <c r="A16" s="32" t="s">
        <v>17</v>
      </c>
      <c r="B16" s="33"/>
      <c r="C16" s="40" t="str">
        <f t="shared" si="9"/>
        <v/>
      </c>
      <c r="D16" s="40" t="str">
        <f t="shared" ref="D16:D26" si="15">IF(B16="","",IFERROR(IFERROR(VALUE(SUBSTITUTE(MID(B16,FIND(" ",B16),FIND("/",B16)-FIND(" ",B16))," ","")),IF(FIND("B",UPPER(B16)),VALUE(MID(B16,FIND(" ",B16),FIND("B",UPPER(B16))-FIND(" ",B16))),"")),""))</f>
        <v/>
      </c>
      <c r="E16" s="40" t="str">
        <f t="shared" ref="E16:E26" si="16">IF(B16="","",IFERROR(IFERROR(VALUE(SUBSTITUTE(RIGHT(B16,LEN(B16)-FIND("/",B16))," ","")),IF(FIND("O",UPPER(B16)),VALUE(MID(B16,FIND(" ",B16),FIND("O",UPPER(B16))-FIND(" ",B16))),"")),""))</f>
        <v/>
      </c>
      <c r="F16" s="41" t="str">
        <f>IF(B16="","",VALUE(SUBSTITUTE(SUBSTITUTE(SUBSTITUTE(SUBSTITUTE(RIGHT(B16,LEN(B16)-FIND("vs",B16)+1),"basis",""),"vs","")," ",""),":","")))</f>
        <v/>
      </c>
      <c r="G16" s="42" t="s">
        <v>13</v>
      </c>
      <c r="H16" s="43" t="s">
        <v>14</v>
      </c>
      <c r="I16" s="6">
        <f>B16</f>
        <v>0</v>
      </c>
      <c r="J16" s="6">
        <f>B16</f>
        <v>0</v>
      </c>
      <c r="M16" s="24" t="str">
        <f>"Tightest FTSE TRF vs " &amp;IF(IF(IF(IF(F30="",F16,F30)="",F44,IF(F30="",F16,F30))="",F59,IF(IF(F30="",F16,F30)="",F44,IF(F30="",F16,F30)))="",F74,IF(IF(IF(F30="",F16,F30)="",F44,IF(F30="",F16,F30))="",F59,IF(IF(F30="",F16,F30)="",F44,IF(F30="",F16,F30))))</f>
        <v xml:space="preserve">Tightest FTSE TRF vs </v>
      </c>
    </row>
    <row r="17" spans="1:29" x14ac:dyDescent="0.25">
      <c r="A17" t="str">
        <f t="shared" ref="A17:A27" si="17">IF(B17="","",IF(A16="",IF(A15="","",A15),A16))</f>
        <v/>
      </c>
      <c r="C17" s="36" t="str">
        <f t="shared" si="9"/>
        <v/>
      </c>
      <c r="D17" t="str">
        <f t="shared" si="15"/>
        <v/>
      </c>
      <c r="E17" t="str">
        <f t="shared" si="16"/>
        <v/>
      </c>
      <c r="F17" s="2" t="str">
        <f t="shared" ref="F17:F27" si="18">IF(B17="","",IF(F16="",IF(F15="","",F15),F16))</f>
        <v/>
      </c>
      <c r="H17" s="44" t="str">
        <f t="shared" ref="H17:H27" si="19">IFERROR(IF(B17="","",IF(D17=INDEX(N:N,MATCH(C17,M:M,0)),"",INDEX(N:N,MATCH(C17,M:M,0))&amp; " bid")&amp;IF(E17=INDEX(O:O,MATCH(C17,M:M,0)),"",IF(D17=INDEX(N:N,MATCH(C17,M:M,0)),INDEX(O:O,MATCH(C17,M:M,0))&amp;" offer"," / "&amp;INDEX(O:O,MATCH(C17,M:M,0))&amp;" offer"))),"")</f>
        <v/>
      </c>
      <c r="I17" s="6" t="str">
        <f t="shared" ref="I17:I27" si="20">IF(A17="JP",IF(B17="","",IF(H17="",B17,B17&amp;" -&gt; "&amp;H17)),IF(B17="","",IF(G17="",B17,B17&amp;" -&gt; "&amp;G17)))</f>
        <v/>
      </c>
      <c r="J17" s="6"/>
      <c r="M17" s="22"/>
      <c r="N17" t="str">
        <f>IF(M17&lt;&gt;"","{GB} "&amp; SUBSTITUTE($M$16,"Tightest ","") &amp; " " &amp;M17,"")</f>
        <v/>
      </c>
    </row>
    <row r="18" spans="1:29" x14ac:dyDescent="0.25">
      <c r="A18" t="str">
        <f t="shared" si="17"/>
        <v/>
      </c>
      <c r="B18" s="34"/>
      <c r="C18" s="36" t="str">
        <f t="shared" si="9"/>
        <v/>
      </c>
      <c r="D18" t="str">
        <f t="shared" si="15"/>
        <v/>
      </c>
      <c r="E18" t="str">
        <f t="shared" si="16"/>
        <v/>
      </c>
      <c r="F18" s="2" t="str">
        <f t="shared" si="18"/>
        <v/>
      </c>
      <c r="G18" s="6" t="str">
        <f t="shared" ref="G18:G27" si="21">IFERROR(IF(B18="","",IF(D18=INDEX(N:N,MATCH(C18,M:M,0)),"best bid "&amp;IF(LEFT(INDEX(P:P,MATCH(C18,M:M,0)),1)-1=0,"","("&amp;LEFT(INDEX(P:P,MATCH(C18,M:M,0)),1)-1&amp;" with you)"),INDEX(N:N,MATCH(C18,M:M,0))&amp; " bid")&amp;" / "&amp;IF(E18=INDEX(O:O,MATCH(C18,M:M,0)),"best offer "&amp;IF(LEFT(INDEX(Q:Q,MATCH(C18,M:M,0)),1)-1=0,"","("&amp;LEFT(INDEX(Q:Q,MATCH(C18,M:M,0)),1)-1&amp;" with you)"),INDEX(O:O,MATCH(C18,M:M,0))&amp;" offer")),"")</f>
        <v/>
      </c>
      <c r="H18" s="1" t="str">
        <f t="shared" si="19"/>
        <v/>
      </c>
      <c r="I18" s="6" t="str">
        <f>IF(A18="","",IF(H18="",B18,C18&amp;" "&amp;IFERROR(IF(SEARCH("bid",H18)&gt;0,N4&amp;"*",""),D18)&amp;"/"&amp;IFERROR(IF(SEARCH("offer",H18)&gt;0,O4&amp;"*",""),E18)))</f>
        <v/>
      </c>
      <c r="J18" s="6" t="str">
        <f t="shared" ref="J18:J27" si="22">IF(A18&lt;&gt;"JP",IF(B18="","",IF(H18="",B18,B18&amp;" -&gt; "&amp;H18)),IF(B18="","",IF(G18="",B18,B18&amp;" -&gt; "&amp;G18)))</f>
        <v/>
      </c>
      <c r="M18" s="22" t="str">
        <f t="shared" ref="M18" si="23">M4&amp;" "&amp;N4&amp;IF(_xlfn.MAXIFS(D:D,C:C,M4)&lt;&gt;_xlfn.MINIFS(D:D,C:C,M4),"*","")&amp;" / "&amp;O4&amp;IF(_xlfn.MAXIFS(E:E,C:C,M4)&lt;&gt;_xlfn.MINIFS(E:E,C:C,M4),"*","")</f>
        <v>Dec23 0 / 0</v>
      </c>
      <c r="N18" t="str">
        <f>IF(M18&lt;&gt;"","{GB} "&amp; SUBSTITUTE(SUBSTITUTE($M$16,"Tightest ",""),"run ","") &amp; " " &amp;M18,"")</f>
        <v>{GB} FTSE TRF vs  Dec23 0 / 0</v>
      </c>
    </row>
    <row r="19" spans="1:29" x14ac:dyDescent="0.25">
      <c r="A19" t="str">
        <f t="shared" si="17"/>
        <v/>
      </c>
      <c r="B19" s="34"/>
      <c r="C19" s="36" t="str">
        <f t="shared" si="9"/>
        <v/>
      </c>
      <c r="D19" t="str">
        <f t="shared" si="15"/>
        <v/>
      </c>
      <c r="E19" t="str">
        <f t="shared" si="16"/>
        <v/>
      </c>
      <c r="F19" s="2" t="str">
        <f t="shared" si="18"/>
        <v/>
      </c>
      <c r="G19" s="6" t="str">
        <f t="shared" si="21"/>
        <v/>
      </c>
      <c r="H19" s="1" t="str">
        <f t="shared" si="19"/>
        <v/>
      </c>
      <c r="I19" s="6" t="str">
        <f t="shared" ref="I19:I22" si="24">IF(A19="","",IF(H19="",B19,C19&amp;" "&amp;IFERROR(IF(SEARCH("bid",H19)&gt;0,N5&amp;"*",""),D19)&amp;"/"&amp;IFERROR(IF(SEARCH("offer",H19)&gt;0,O5&amp;"*",""),E19)))</f>
        <v/>
      </c>
      <c r="J19" s="6" t="str">
        <f t="shared" si="22"/>
        <v/>
      </c>
      <c r="M19" s="22" t="str">
        <f>M5&amp;" "&amp;N5&amp;IF(_xlfn.MAXIFS(D:D,C:C,M5)&lt;&gt;_xlfn.MINIFS(D:D,C:C,M5),"*","")&amp;" / "&amp;O5&amp;IF(_xlfn.MAXIFS(E:E,C:C,M5)&lt;&gt;_xlfn.MINIFS(E:E,C:C,M5),"*","")</f>
        <v>Dec24 0 / 0</v>
      </c>
      <c r="N19" t="str">
        <f t="shared" ref="N19:N23" si="25">IF(M19&lt;&gt;"","{GB} "&amp; SUBSTITUTE(SUBSTITUTE($M$16,"Tightest ",""),"run ","") &amp; " " &amp;M19,"")</f>
        <v>{GB} FTSE TRF vs  Dec24 0 / 0</v>
      </c>
      <c r="R19" t="s">
        <v>15</v>
      </c>
    </row>
    <row r="20" spans="1:29" x14ac:dyDescent="0.25">
      <c r="A20" t="str">
        <f t="shared" si="17"/>
        <v/>
      </c>
      <c r="B20" s="34"/>
      <c r="C20" s="36" t="str">
        <f t="shared" si="9"/>
        <v/>
      </c>
      <c r="D20" t="str">
        <f t="shared" si="15"/>
        <v/>
      </c>
      <c r="E20" t="str">
        <f t="shared" si="16"/>
        <v/>
      </c>
      <c r="F20" s="2" t="str">
        <f t="shared" si="18"/>
        <v/>
      </c>
      <c r="G20" s="6" t="str">
        <f t="shared" si="21"/>
        <v/>
      </c>
      <c r="H20" s="1" t="str">
        <f t="shared" si="19"/>
        <v/>
      </c>
      <c r="I20" s="6" t="str">
        <f t="shared" si="24"/>
        <v/>
      </c>
      <c r="J20" s="6" t="str">
        <f t="shared" si="22"/>
        <v/>
      </c>
      <c r="M20" s="22" t="str">
        <f t="shared" ref="M20:M23" si="26">M6&amp;" "&amp;N6&amp;IF(_xlfn.MAXIFS(D:D,C:C,M6)&lt;&gt;_xlfn.MINIFS(D:D,C:C,M6),"*","")&amp;" / "&amp;O6&amp;IF(_xlfn.MAXIFS(E:E,C:C,M6)&lt;&gt;_xlfn.MINIFS(E:E,C:C,M6),"*","")</f>
        <v>Dec25 0 / 0</v>
      </c>
      <c r="N20" t="str">
        <f t="shared" si="25"/>
        <v>{GB} FTSE TRF vs  Dec25 0 / 0</v>
      </c>
      <c r="R20">
        <v>1234</v>
      </c>
      <c r="X20" s="10"/>
      <c r="Y20" s="10"/>
      <c r="Z20" s="10"/>
      <c r="AA20" s="10"/>
      <c r="AB20" s="10"/>
      <c r="AC20" s="10"/>
    </row>
    <row r="21" spans="1:29" x14ac:dyDescent="0.25">
      <c r="A21" t="str">
        <f t="shared" si="17"/>
        <v/>
      </c>
      <c r="B21" s="34"/>
      <c r="C21" s="36" t="str">
        <f t="shared" si="9"/>
        <v/>
      </c>
      <c r="D21" t="str">
        <f t="shared" si="15"/>
        <v/>
      </c>
      <c r="E21" t="str">
        <f t="shared" si="16"/>
        <v/>
      </c>
      <c r="F21" s="2" t="str">
        <f t="shared" si="18"/>
        <v/>
      </c>
      <c r="G21" s="6" t="str">
        <f t="shared" si="21"/>
        <v/>
      </c>
      <c r="H21" s="1" t="str">
        <f t="shared" si="19"/>
        <v/>
      </c>
      <c r="I21" s="6" t="str">
        <f t="shared" si="24"/>
        <v/>
      </c>
      <c r="J21" s="6" t="str">
        <f t="shared" si="22"/>
        <v/>
      </c>
      <c r="M21" s="22" t="str">
        <f t="shared" si="26"/>
        <v>Dec26 0 / 0</v>
      </c>
      <c r="N21" t="str">
        <f t="shared" si="25"/>
        <v>{GB} FTSE TRF vs  Dec26 0 / 0</v>
      </c>
    </row>
    <row r="22" spans="1:29" x14ac:dyDescent="0.25">
      <c r="A22" t="str">
        <f t="shared" si="17"/>
        <v/>
      </c>
      <c r="B22" s="34"/>
      <c r="C22" s="36" t="str">
        <f t="shared" si="9"/>
        <v/>
      </c>
      <c r="D22" t="str">
        <f t="shared" si="15"/>
        <v/>
      </c>
      <c r="E22" t="str">
        <f t="shared" si="16"/>
        <v/>
      </c>
      <c r="F22" s="2" t="str">
        <f t="shared" si="18"/>
        <v/>
      </c>
      <c r="G22" s="6" t="str">
        <f t="shared" si="21"/>
        <v/>
      </c>
      <c r="H22" s="1" t="str">
        <f t="shared" si="19"/>
        <v/>
      </c>
      <c r="I22" s="6" t="str">
        <f t="shared" si="24"/>
        <v/>
      </c>
      <c r="J22" s="6" t="str">
        <f t="shared" si="22"/>
        <v/>
      </c>
      <c r="M22" s="22" t="str">
        <f t="shared" si="26"/>
        <v>Dec27 0 / 0</v>
      </c>
      <c r="N22" t="str">
        <f t="shared" si="25"/>
        <v>{GB} FTSE TRF vs  Dec27 0 / 0</v>
      </c>
    </row>
    <row r="23" spans="1:29" x14ac:dyDescent="0.25">
      <c r="A23" t="str">
        <f t="shared" si="17"/>
        <v/>
      </c>
      <c r="B23" s="34"/>
      <c r="C23" s="36" t="str">
        <f t="shared" si="9"/>
        <v/>
      </c>
      <c r="D23" t="str">
        <f t="shared" si="15"/>
        <v/>
      </c>
      <c r="E23" t="str">
        <f t="shared" si="16"/>
        <v/>
      </c>
      <c r="F23" s="2" t="str">
        <f t="shared" si="18"/>
        <v/>
      </c>
      <c r="G23" s="6" t="str">
        <f t="shared" si="21"/>
        <v/>
      </c>
      <c r="H23" s="1" t="str">
        <f t="shared" si="19"/>
        <v/>
      </c>
      <c r="I23" s="6" t="str">
        <f t="shared" ref="I23:I24" si="27">IF(A23&lt;&gt;"JP",IF(B23="","",IF(H23="",B23,B23&amp;" -&gt; "&amp;H23)),IF(B23="","",IF(G23="",B23,B23&amp;" -&gt; "&amp;G23)))</f>
        <v/>
      </c>
      <c r="J23" s="6" t="str">
        <f t="shared" si="22"/>
        <v/>
      </c>
      <c r="M23" s="22" t="str">
        <f t="shared" si="26"/>
        <v>Dec28 0 / 0</v>
      </c>
      <c r="N23" t="str">
        <f t="shared" si="25"/>
        <v>{GB} FTSE TRF vs  Dec28 0 / 0</v>
      </c>
    </row>
    <row r="24" spans="1:29" x14ac:dyDescent="0.25">
      <c r="A24" t="str">
        <f t="shared" si="17"/>
        <v/>
      </c>
      <c r="B24" s="34"/>
      <c r="C24" s="36" t="str">
        <f t="shared" si="9"/>
        <v/>
      </c>
      <c r="D24" t="str">
        <f t="shared" si="15"/>
        <v/>
      </c>
      <c r="E24" t="str">
        <f t="shared" si="16"/>
        <v/>
      </c>
      <c r="F24" s="2" t="str">
        <f t="shared" si="18"/>
        <v/>
      </c>
      <c r="G24" s="6" t="str">
        <f t="shared" si="21"/>
        <v/>
      </c>
      <c r="H24" s="1" t="str">
        <f t="shared" si="19"/>
        <v/>
      </c>
      <c r="I24" s="6" t="str">
        <f t="shared" si="27"/>
        <v/>
      </c>
      <c r="J24" s="6" t="str">
        <f t="shared" si="22"/>
        <v/>
      </c>
      <c r="M24" s="22"/>
      <c r="N24" t="str">
        <f t="shared" ref="N24:N25" si="28">IF(M24&lt;&gt;"","{GB} "&amp; SUBSTITUTE($M$16,"Tightest ","") &amp; " " &amp;M24,"")</f>
        <v/>
      </c>
    </row>
    <row r="25" spans="1:29" x14ac:dyDescent="0.25">
      <c r="A25" t="str">
        <f t="shared" si="17"/>
        <v/>
      </c>
      <c r="B25" s="34"/>
      <c r="C25" s="36" t="str">
        <f t="shared" si="9"/>
        <v/>
      </c>
      <c r="D25" t="str">
        <f t="shared" si="15"/>
        <v/>
      </c>
      <c r="E25" t="str">
        <f t="shared" si="16"/>
        <v/>
      </c>
      <c r="F25" s="2" t="str">
        <f t="shared" si="18"/>
        <v/>
      </c>
      <c r="G25" s="6" t="str">
        <f t="shared" si="21"/>
        <v/>
      </c>
      <c r="H25" s="1" t="str">
        <f t="shared" si="19"/>
        <v/>
      </c>
      <c r="I25" s="6" t="str">
        <f t="shared" si="20"/>
        <v/>
      </c>
      <c r="J25" s="6" t="str">
        <f t="shared" si="22"/>
        <v/>
      </c>
      <c r="M25" s="22"/>
      <c r="N25" t="str">
        <f t="shared" si="28"/>
        <v/>
      </c>
    </row>
    <row r="26" spans="1:29" x14ac:dyDescent="0.25">
      <c r="A26" t="str">
        <f t="shared" si="17"/>
        <v/>
      </c>
      <c r="B26" s="34"/>
      <c r="C26" s="36" t="str">
        <f t="shared" si="9"/>
        <v/>
      </c>
      <c r="D26" t="str">
        <f t="shared" si="15"/>
        <v/>
      </c>
      <c r="E26" t="str">
        <f t="shared" si="16"/>
        <v/>
      </c>
      <c r="F26" s="2" t="str">
        <f t="shared" si="18"/>
        <v/>
      </c>
      <c r="G26" s="6" t="str">
        <f t="shared" si="21"/>
        <v/>
      </c>
      <c r="H26" s="1" t="str">
        <f t="shared" si="19"/>
        <v/>
      </c>
      <c r="I26" s="6" t="str">
        <f t="shared" si="20"/>
        <v/>
      </c>
      <c r="J26" s="6" t="str">
        <f t="shared" si="22"/>
        <v/>
      </c>
      <c r="M26" s="22"/>
    </row>
    <row r="27" spans="1:29" x14ac:dyDescent="0.25">
      <c r="A27" s="3" t="str">
        <f t="shared" si="17"/>
        <v/>
      </c>
      <c r="B27" s="34"/>
      <c r="C27" s="37" t="str">
        <f t="shared" si="9"/>
        <v/>
      </c>
      <c r="D27" s="4" t="str">
        <f t="shared" si="10"/>
        <v/>
      </c>
      <c r="E27" s="4" t="str">
        <f t="shared" si="11"/>
        <v/>
      </c>
      <c r="F27" s="5" t="str">
        <f t="shared" si="18"/>
        <v/>
      </c>
      <c r="G27" s="7" t="str">
        <f t="shared" si="21"/>
        <v/>
      </c>
      <c r="H27" s="3" t="str">
        <f t="shared" si="19"/>
        <v/>
      </c>
      <c r="I27" s="7" t="str">
        <f t="shared" si="20"/>
        <v/>
      </c>
      <c r="J27" s="7" t="str">
        <f t="shared" si="22"/>
        <v/>
      </c>
      <c r="M27" s="23"/>
    </row>
    <row r="28" spans="1:29" x14ac:dyDescent="0.25">
      <c r="C28" s="36" t="str">
        <f t="shared" si="9"/>
        <v/>
      </c>
      <c r="D28" t="str">
        <f t="shared" si="10"/>
        <v/>
      </c>
      <c r="E28" t="str">
        <f t="shared" si="11"/>
        <v/>
      </c>
      <c r="H28" t="str">
        <f>IFERROR(IF(B28="","",IF(D28=INDEX(N:N,MATCH(C28,M:M,0)),"you are best bid "&amp;IF(INDEX(P:P,MATCH(C28,M:M,0))-1=0,"","("&amp;INDEX(P:P,MATCH(C28,M:M,0))-1&amp;" with you)"),INDEX(N:N,MATCH(C28,M:M,0))&amp; " bid")&amp;" / "&amp;IF(E28=INDEX(O:O,MATCH(C28,M:M,0)),"you are best offer "&amp;IF(INDEX(Q:Q,MATCH(C28,M:M,0))-1=0,"","("&amp;INDEX(Q:Q,MATCH(C28,M:M,0))-1&amp;" with you)"),INDEX(O:O,MATCH(C28,M:M,0))&amp;" offer")),"")</f>
        <v/>
      </c>
      <c r="I28" t="str">
        <f>IFERROR(IF(H28="","",C28&amp;" "&amp;INDEX(N:N,MATCH(C28,M:M,0))&amp;" / "&amp;INDEX(O:O,MATCH(C28,M:M,0))&amp;" : "&amp;H28),B28)</f>
        <v/>
      </c>
    </row>
    <row r="29" spans="1:29" x14ac:dyDescent="0.25">
      <c r="C29" s="37" t="str">
        <f t="shared" si="9"/>
        <v/>
      </c>
      <c r="D29" s="37"/>
      <c r="E29" s="37"/>
      <c r="F29" s="37"/>
      <c r="G29" s="37"/>
      <c r="H29" s="38"/>
      <c r="I29" s="39" t="str">
        <f xml:space="preserve"> "Your feedback Roland"</f>
        <v>Your feedback Roland</v>
      </c>
      <c r="J29" s="8" t="str">
        <f>"Send to "&amp;A30 &amp; " V2 report"</f>
        <v>Send to CS V2 report</v>
      </c>
    </row>
    <row r="30" spans="1:29" x14ac:dyDescent="0.25">
      <c r="A30" s="32" t="s">
        <v>20</v>
      </c>
      <c r="B30" s="33"/>
      <c r="C30" s="40" t="str">
        <f t="shared" si="9"/>
        <v/>
      </c>
      <c r="D30" s="40" t="str">
        <f t="shared" ref="D30:D41" si="29">IF(B30="","",IFERROR(IFERROR(VALUE(SUBSTITUTE(MID(B30,FIND(" ",B30),FIND("/",B30)-FIND(" ",B30))," ","")),IF(FIND("B",UPPER(B30)),VALUE(MID(B30,FIND(" ",B30),FIND("B",UPPER(B30))-FIND(" ",B30))),"")),""))</f>
        <v/>
      </c>
      <c r="E30" s="40" t="str">
        <f t="shared" ref="E30:E41" si="30">IF(B30="","",IFERROR(IFERROR(VALUE(SUBSTITUTE(RIGHT(B30,LEN(B30)-FIND("/",B30))," ","")),IF(FIND("O",UPPER(B30)),VALUE(MID(B30,FIND(" ",B30),FIND("O",UPPER(B30))-FIND(" ",B30))),"")),""))</f>
        <v/>
      </c>
      <c r="F30" s="41" t="str">
        <f>IF(B30="","",VALUE(SUBSTITUTE(SUBSTITUTE(SUBSTITUTE(SUBSTITUTE(RIGHT(B30,LEN(B30)-FIND("vs",B30)+1),"basis",""),"vs","")," ",""),":","")))</f>
        <v/>
      </c>
      <c r="G30" s="42" t="s">
        <v>13</v>
      </c>
      <c r="H30" s="43" t="s">
        <v>14</v>
      </c>
      <c r="I30" s="6">
        <f>B30</f>
        <v>0</v>
      </c>
      <c r="J30" s="6">
        <f>B30</f>
        <v>0</v>
      </c>
    </row>
    <row r="31" spans="1:29" ht="15" customHeight="1" x14ac:dyDescent="0.25">
      <c r="A31" t="str">
        <f>IF(B31="","",IF(A30="",IF(A29="","",A29),A30))</f>
        <v/>
      </c>
      <c r="C31" s="36" t="str">
        <f t="shared" si="9"/>
        <v/>
      </c>
      <c r="D31" t="str">
        <f t="shared" si="29"/>
        <v/>
      </c>
      <c r="E31" t="str">
        <f t="shared" si="30"/>
        <v/>
      </c>
      <c r="F31" s="2" t="str">
        <f t="shared" ref="F31:F41" si="31">IF(B31="","",IF(F30="",IF(F29="","",F29),F30))</f>
        <v/>
      </c>
      <c r="H31" s="44" t="str">
        <f t="shared" ref="H31:H41" si="32">IFERROR(IF(B31="","",IF(D31=INDEX(N:N,MATCH(C31,M:M,0)),"",INDEX(N:N,MATCH(C31,M:M,0))&amp; " bid")&amp;IF(E31=INDEX(O:O,MATCH(C31,M:M,0)),"",IF(D31=INDEX(N:N,MATCH(C31,M:M,0)),INDEX(O:O,MATCH(C31,M:M,0))&amp;" offer"," / "&amp;INDEX(O:O,MATCH(C31,M:M,0))&amp;" offer"))),"")</f>
        <v/>
      </c>
      <c r="I31" s="6" t="str">
        <f>IF(A31="JP",IF(B31="","",IF(H31="",B31,B31&amp;" -&gt; "&amp;H31)),IF(B31="","",IF(G31="",B31,B31&amp;" -&gt; "&amp;G31)))</f>
        <v/>
      </c>
      <c r="J31" s="6"/>
      <c r="M31" s="134" t="str">
        <f>IF(COUNT(_xlfn.UNIQUE(F:F))&lt;&gt;1,"CARE, NOT THE SAME BASIS","GO")</f>
        <v>CARE, NOT THE SAME BASIS</v>
      </c>
    </row>
    <row r="32" spans="1:29" ht="15" customHeight="1" x14ac:dyDescent="0.25">
      <c r="A32" t="str">
        <f>IF(B32="","",IF(A31="",IF(A30="","",A30),A31))</f>
        <v/>
      </c>
      <c r="B32" s="34"/>
      <c r="C32" s="36" t="str">
        <f t="shared" ref="C32:C41" si="33">IF(B32="","",SUBSTITUTE(LEFT(B32,FIND(" ",B32)-1),"-",""))</f>
        <v/>
      </c>
      <c r="D32" t="str">
        <f t="shared" si="29"/>
        <v/>
      </c>
      <c r="E32" t="str">
        <f t="shared" si="30"/>
        <v/>
      </c>
      <c r="F32" s="2" t="str">
        <f t="shared" si="31"/>
        <v/>
      </c>
      <c r="G32" s="6" t="str">
        <f t="shared" ref="G32:G41" si="34">IFERROR(IF(B32="","",IF(D32=INDEX(N:N,MATCH(C32,M:M,0)),"best bid "&amp;IF(LEFT(INDEX(P:P,MATCH(C32,M:M,0)),1)-1=0,"","("&amp;LEFT(INDEX(P:P,MATCH(C32,M:M,0)),1)-1&amp;" with you)"),INDEX(N:N,MATCH(C32,M:M,0))&amp; " bid")&amp;" / "&amp;IF(E32=INDEX(O:O,MATCH(C32,M:M,0)),"best offer "&amp;IF(LEFT(INDEX(Q:Q,MATCH(C32,M:M,0)),1)-1=0,"","("&amp;LEFT(INDEX(Q:Q,MATCH(C32,M:M,0)),1)-1&amp;" with you)"),INDEX(O:O,MATCH(C32,M:M,0))&amp;" offer")),"")</f>
        <v/>
      </c>
      <c r="H32" s="1" t="str">
        <f t="shared" si="32"/>
        <v/>
      </c>
      <c r="I32" s="6" t="str">
        <f>IF(B32="","",IF(H32="",B32,C32&amp;" "&amp;IFERROR(IF(SEARCH("bid",H32)&gt;0,N4&amp;"*",""),D32)&amp;"/"&amp;IFERROR(IF(SEARCH("offer",H32)&gt;0,O4&amp;"*",""),E32)))</f>
        <v/>
      </c>
      <c r="J32" s="6" t="str">
        <f t="shared" ref="J32:J38" si="35">IF(A32&lt;&gt;"JP",IF(B35="","",IF(H32="",B35,B35&amp;" -&gt; "&amp;H32)),IF(B35="","",IF(G32="",B35,B35&amp;" -&gt; "&amp;G32)))</f>
        <v/>
      </c>
      <c r="M32" s="134"/>
    </row>
    <row r="33" spans="1:13" ht="15" customHeight="1" x14ac:dyDescent="0.25">
      <c r="A33" t="str">
        <f t="shared" ref="A33:A41" si="36">IF(B33="","",IF(A32="",IF(A31="","",A31),A32))</f>
        <v/>
      </c>
      <c r="B33" s="34"/>
      <c r="C33" s="36" t="str">
        <f t="shared" si="33"/>
        <v/>
      </c>
      <c r="D33" t="str">
        <f t="shared" si="29"/>
        <v/>
      </c>
      <c r="E33" t="str">
        <f t="shared" si="30"/>
        <v/>
      </c>
      <c r="F33" s="2" t="str">
        <f t="shared" si="31"/>
        <v/>
      </c>
      <c r="G33" s="6" t="str">
        <f t="shared" si="34"/>
        <v/>
      </c>
      <c r="H33" s="1" t="str">
        <f t="shared" si="32"/>
        <v/>
      </c>
      <c r="I33" s="6" t="str">
        <f>IF(B33="","",IF(H33="",B33,C33&amp;" "&amp;IFERROR(IF(SEARCH("bid",H33)&gt;0,N5&amp;"*",""),D33)&amp;"/"&amp;IFERROR(IF(SEARCH("offer",H33)&gt;0,O5&amp;"*",""),E33)))</f>
        <v/>
      </c>
      <c r="J33" s="6" t="str">
        <f t="shared" si="35"/>
        <v/>
      </c>
      <c r="M33" s="134"/>
    </row>
    <row r="34" spans="1:13" ht="15" customHeight="1" x14ac:dyDescent="0.25">
      <c r="A34" t="str">
        <f t="shared" si="36"/>
        <v/>
      </c>
      <c r="B34" s="34"/>
      <c r="C34" s="36" t="str">
        <f t="shared" si="33"/>
        <v/>
      </c>
      <c r="D34" t="str">
        <f t="shared" si="29"/>
        <v/>
      </c>
      <c r="E34" t="str">
        <f t="shared" si="30"/>
        <v/>
      </c>
      <c r="F34" s="2" t="str">
        <f t="shared" si="31"/>
        <v/>
      </c>
      <c r="G34" s="6" t="str">
        <f t="shared" si="34"/>
        <v/>
      </c>
      <c r="H34" s="1" t="str">
        <f t="shared" si="32"/>
        <v/>
      </c>
      <c r="I34" s="6" t="str">
        <f>IF(B34="","",IF(H34="",B34,C34&amp;" "&amp;IFERROR(IF(SEARCH("bid",H34)&gt;0,N6&amp;"*",""),D34)&amp;"/"&amp;IFERROR(IF(SEARCH("offer",H34)&gt;0,O6&amp;"*",""),E34)))</f>
        <v/>
      </c>
      <c r="J34" s="6" t="str">
        <f t="shared" si="35"/>
        <v/>
      </c>
      <c r="M34" s="134"/>
    </row>
    <row r="35" spans="1:13" ht="15" customHeight="1" x14ac:dyDescent="0.25">
      <c r="A35" t="str">
        <f t="shared" si="36"/>
        <v/>
      </c>
      <c r="B35" s="34"/>
      <c r="C35" s="36" t="str">
        <f t="shared" si="33"/>
        <v/>
      </c>
      <c r="D35" t="str">
        <f t="shared" si="29"/>
        <v/>
      </c>
      <c r="E35" t="str">
        <f t="shared" si="30"/>
        <v/>
      </c>
      <c r="F35" s="2" t="str">
        <f t="shared" si="31"/>
        <v/>
      </c>
      <c r="G35" s="6" t="str">
        <f t="shared" si="34"/>
        <v/>
      </c>
      <c r="H35" s="1" t="str">
        <f t="shared" si="32"/>
        <v/>
      </c>
      <c r="I35" s="6" t="str">
        <f>IF(B35="","",IF(H35="",B35,C35&amp;" "&amp;IFERROR(IF(SEARCH("bid",H35)&gt;0,N7&amp;"*",""),D35)&amp;"/"&amp;IFERROR(IF(SEARCH("offer",H35)&gt;0,O7&amp;"*",""),E35)))</f>
        <v/>
      </c>
      <c r="J35" s="6" t="str">
        <f t="shared" si="35"/>
        <v/>
      </c>
      <c r="M35" s="134"/>
    </row>
    <row r="36" spans="1:13" ht="15" customHeight="1" x14ac:dyDescent="0.25">
      <c r="A36" t="str">
        <f t="shared" si="36"/>
        <v/>
      </c>
      <c r="B36" s="34"/>
      <c r="C36" s="36" t="str">
        <f t="shared" si="33"/>
        <v/>
      </c>
      <c r="D36" t="str">
        <f t="shared" si="29"/>
        <v/>
      </c>
      <c r="E36" t="str">
        <f t="shared" si="30"/>
        <v/>
      </c>
      <c r="F36" s="2" t="str">
        <f t="shared" si="31"/>
        <v/>
      </c>
      <c r="G36" s="6" t="str">
        <f t="shared" si="34"/>
        <v/>
      </c>
      <c r="H36" s="1" t="str">
        <f t="shared" si="32"/>
        <v/>
      </c>
      <c r="I36" s="6" t="str">
        <f>IF(B36="","",IF(H36="",B36,C36&amp;" "&amp;IFERROR(IF(SEARCH("bid",H36)&gt;0,N8&amp;"*",""),D36)&amp;"/"&amp;IFERROR(IF(SEARCH("offer",H36)&gt;0,O8&amp;"*",""),E36)))</f>
        <v/>
      </c>
      <c r="J36" s="6" t="str">
        <f t="shared" si="35"/>
        <v/>
      </c>
      <c r="M36" s="134"/>
    </row>
    <row r="37" spans="1:13" ht="15" customHeight="1" x14ac:dyDescent="0.25">
      <c r="A37" t="str">
        <f t="shared" si="36"/>
        <v/>
      </c>
      <c r="B37" s="34"/>
      <c r="C37" s="36" t="str">
        <f t="shared" si="33"/>
        <v/>
      </c>
      <c r="D37" t="str">
        <f t="shared" si="29"/>
        <v/>
      </c>
      <c r="E37" t="str">
        <f t="shared" si="30"/>
        <v/>
      </c>
      <c r="F37" s="2" t="str">
        <f t="shared" si="31"/>
        <v/>
      </c>
      <c r="G37" s="6" t="str">
        <f t="shared" si="34"/>
        <v/>
      </c>
      <c r="H37" s="1" t="str">
        <f t="shared" si="32"/>
        <v/>
      </c>
      <c r="I37" s="6" t="str">
        <f t="shared" ref="I37:I38" si="37">IF(A37&lt;&gt;"JP",IF(B37="","",IF(H37="",B37,B37&amp;" -&gt; "&amp;H37)),IF(B37="","",IF(G37="",B37,B37&amp;" -&gt; "&amp;G37)))</f>
        <v/>
      </c>
      <c r="J37" s="6" t="str">
        <f t="shared" si="35"/>
        <v/>
      </c>
      <c r="M37" s="134"/>
    </row>
    <row r="38" spans="1:13" ht="15" customHeight="1" x14ac:dyDescent="0.25">
      <c r="A38" t="str">
        <f t="shared" si="36"/>
        <v/>
      </c>
      <c r="B38" s="34"/>
      <c r="C38" s="36" t="str">
        <f t="shared" si="33"/>
        <v/>
      </c>
      <c r="D38" t="str">
        <f t="shared" si="29"/>
        <v/>
      </c>
      <c r="E38" t="str">
        <f t="shared" si="30"/>
        <v/>
      </c>
      <c r="F38" s="2" t="str">
        <f t="shared" si="31"/>
        <v/>
      </c>
      <c r="G38" s="6" t="str">
        <f t="shared" si="34"/>
        <v/>
      </c>
      <c r="H38" s="1" t="str">
        <f t="shared" si="32"/>
        <v/>
      </c>
      <c r="I38" s="6" t="str">
        <f t="shared" si="37"/>
        <v/>
      </c>
      <c r="J38" s="6" t="str">
        <f t="shared" si="35"/>
        <v/>
      </c>
      <c r="M38" s="134"/>
    </row>
    <row r="39" spans="1:13" ht="15" customHeight="1" x14ac:dyDescent="0.25">
      <c r="A39" t="str">
        <f t="shared" si="36"/>
        <v/>
      </c>
      <c r="B39" s="34"/>
      <c r="C39" s="36" t="str">
        <f t="shared" si="33"/>
        <v/>
      </c>
      <c r="D39" t="str">
        <f t="shared" si="29"/>
        <v/>
      </c>
      <c r="E39" t="str">
        <f t="shared" si="30"/>
        <v/>
      </c>
      <c r="F39" s="2" t="str">
        <f t="shared" si="31"/>
        <v/>
      </c>
      <c r="G39" s="6" t="str">
        <f t="shared" si="34"/>
        <v/>
      </c>
      <c r="H39" s="1" t="str">
        <f t="shared" si="32"/>
        <v/>
      </c>
      <c r="I39" s="6" t="str">
        <f t="shared" ref="I39:I41" si="38">IF(A39="JP",IF(B39="","",IF(H39="",B39,B39&amp;" -&gt; "&amp;H39)),IF(B39="","",IF(G39="",B39,B39&amp;" -&gt; "&amp;G39)))</f>
        <v/>
      </c>
      <c r="J39" s="6" t="e">
        <f>IF(A39&lt;&gt;"JP",IF(#REF!="","",IF(H39="",#REF!,#REF!&amp;" -&gt; "&amp;H39)),IF(#REF!="","",IF(G39="",#REF!,#REF!&amp;" -&gt; "&amp;G39)))</f>
        <v>#REF!</v>
      </c>
      <c r="M39" s="134"/>
    </row>
    <row r="40" spans="1:13" ht="15" customHeight="1" x14ac:dyDescent="0.25">
      <c r="A40" t="str">
        <f t="shared" si="36"/>
        <v/>
      </c>
      <c r="B40" s="34"/>
      <c r="C40" s="36" t="str">
        <f t="shared" si="33"/>
        <v/>
      </c>
      <c r="D40" t="str">
        <f t="shared" si="29"/>
        <v/>
      </c>
      <c r="E40" t="str">
        <f t="shared" si="30"/>
        <v/>
      </c>
      <c r="F40" s="2" t="str">
        <f t="shared" si="31"/>
        <v/>
      </c>
      <c r="G40" s="6" t="str">
        <f t="shared" si="34"/>
        <v/>
      </c>
      <c r="H40" s="1" t="str">
        <f t="shared" si="32"/>
        <v/>
      </c>
      <c r="I40" s="6" t="str">
        <f t="shared" si="38"/>
        <v/>
      </c>
      <c r="J40" s="6" t="e">
        <f>IF(A40&lt;&gt;"JP",IF(#REF!="","",IF(H40="",#REF!,#REF!&amp;" -&gt; "&amp;H40)),IF(#REF!="","",IF(G40="",#REF!,#REF!&amp;" -&gt; "&amp;G40)))</f>
        <v>#REF!</v>
      </c>
      <c r="M40" s="134"/>
    </row>
    <row r="41" spans="1:13" ht="15" customHeight="1" x14ac:dyDescent="0.25">
      <c r="A41" s="3" t="str">
        <f t="shared" si="36"/>
        <v/>
      </c>
      <c r="B41" s="34"/>
      <c r="C41" s="37" t="str">
        <f t="shared" si="33"/>
        <v/>
      </c>
      <c r="D41" s="4" t="str">
        <f t="shared" si="29"/>
        <v/>
      </c>
      <c r="E41" s="4" t="str">
        <f t="shared" si="30"/>
        <v/>
      </c>
      <c r="F41" s="5" t="str">
        <f t="shared" si="31"/>
        <v/>
      </c>
      <c r="G41" s="7" t="str">
        <f t="shared" si="34"/>
        <v/>
      </c>
      <c r="H41" s="3" t="str">
        <f t="shared" si="32"/>
        <v/>
      </c>
      <c r="I41" s="7" t="str">
        <f t="shared" si="38"/>
        <v/>
      </c>
      <c r="J41" s="7" t="e">
        <f>IF(A41&lt;&gt;"JP",IF(#REF!="","",IF(H41="",#REF!,#REF!&amp;" -&gt; "&amp;H41)),IF(#REF!="","",IF(G41="",#REF!,#REF!&amp;" -&gt; "&amp;G41)))</f>
        <v>#REF!</v>
      </c>
      <c r="M41" s="134"/>
    </row>
    <row r="42" spans="1:13" x14ac:dyDescent="0.25">
      <c r="C42" s="36" t="str">
        <f>IF(B42="","",SUBSTITUTE(LEFT(B42,FIND(" ",B42)-1),"-",""))</f>
        <v/>
      </c>
      <c r="D42" t="str">
        <f>IF(B42="","",IFERROR(IFERROR(VALUE(SUBSTITUTE(MID(B42,FIND(" ",B42),FIND("/",B42)-FIND(" ",B42))," ","")),IF(FIND("B",UPPER(B42)),VALUE(MID(B42,FIND(" ",B42),FIND("B",UPPER(B42))-FIND(" ",B42))),"")),""))</f>
        <v/>
      </c>
      <c r="E42" t="str">
        <f>IF(B42="","",IFERROR(IFERROR(VALUE(SUBSTITUTE(RIGHT(B42,LEN(B42)-FIND("/",B42))," ","")),IF(FIND("O",UPPER(B42)),VALUE(MID(B42,FIND(" ",B42),FIND("O",UPPER(B42))-FIND(" ",B42))),"")),""))</f>
        <v/>
      </c>
      <c r="H42" t="str">
        <f>IFERROR(IF(B42="","",IF(D42=INDEX(N:N,MATCH(C42,M:M,0)),"you are best bid "&amp;IF(INDEX(P:P,MATCH(C42,M:M,0))-1=0,"","("&amp;INDEX(P:P,MATCH(C42,M:M,0))-1&amp;" with you)"),INDEX(N:N,MATCH(C42,M:M,0))&amp; " bid")&amp;" / "&amp;IF(E42=INDEX(O:O,MATCH(C42,M:M,0)),"you are best offer "&amp;IF(INDEX(Q:Q,MATCH(C42,M:M,0))-1=0,"","("&amp;INDEX(Q:Q,MATCH(C42,M:M,0))-1&amp;" with you)"),INDEX(O:O,MATCH(C42,M:M,0))&amp;" offer")),"")</f>
        <v/>
      </c>
      <c r="I42" t="str">
        <f>IFERROR(IF(H42="","",C42&amp;" "&amp;INDEX(N:N,MATCH(C42,M:M,0))&amp;" / "&amp;INDEX(O:O,MATCH(C42,M:M,0))&amp;" : "&amp;H42),B42)</f>
        <v/>
      </c>
    </row>
    <row r="43" spans="1:13" x14ac:dyDescent="0.25">
      <c r="C43" s="37" t="str">
        <f t="shared" ref="C43" si="39">IF(B43="","",SUBSTITUTE(LEFT(B43,FIND(" ",B43)-1),"-",""))</f>
        <v/>
      </c>
      <c r="D43" s="37"/>
      <c r="E43" s="37"/>
      <c r="F43" s="37"/>
      <c r="G43" s="37"/>
      <c r="H43" s="38"/>
      <c r="I43" s="39" t="str">
        <f xml:space="preserve"> "Send to " &amp;A44</f>
        <v>Send to GS</v>
      </c>
      <c r="J43" s="8" t="str">
        <f>"Send to "&amp;A44 &amp; " V2 report"</f>
        <v>Send to GS V2 report</v>
      </c>
    </row>
    <row r="44" spans="1:13" x14ac:dyDescent="0.25">
      <c r="A44" s="32" t="s">
        <v>19</v>
      </c>
      <c r="B44" s="33"/>
      <c r="C44" s="40" t="str">
        <f t="shared" si="9"/>
        <v/>
      </c>
      <c r="D44" s="40" t="str">
        <f t="shared" ref="D44:D55" si="40">IF(B44="","",IFERROR(IFERROR(VALUE(SUBSTITUTE(MID(B44,FIND(" ",B44),FIND("/",B44)-FIND(" ",B44))," ","")),IF(FIND("B",UPPER(B44)),VALUE(MID(B44,FIND(" ",B44),FIND("B",UPPER(B44))-FIND(" ",B44))),"")),""))</f>
        <v/>
      </c>
      <c r="E44" s="40" t="str">
        <f t="shared" ref="E44:E55" si="41">IF(B44="","",IFERROR(IFERROR(VALUE(SUBSTITUTE(RIGHT(B44,LEN(B44)-FIND("/",B44))," ","")),IF(FIND("O",UPPER(B44)),VALUE(MID(B44,FIND(" ",B44),FIND("O",UPPER(B44))-FIND(" ",B44))),"")),""))</f>
        <v/>
      </c>
      <c r="F44" s="41" t="str">
        <f>IF(B44="","",VALUE(SUBSTITUTE(SUBSTITUTE(SUBSTITUTE(SUBSTITUTE(RIGHT(B44,LEN(B44)-FIND("vs",B44)+1),"basis",""),"vs","")," ",""),":","")))</f>
        <v/>
      </c>
      <c r="G44" s="42" t="s">
        <v>13</v>
      </c>
      <c r="H44" s="43" t="s">
        <v>14</v>
      </c>
      <c r="I44" s="6">
        <f>B44</f>
        <v>0</v>
      </c>
      <c r="J44" s="6">
        <f>B44</f>
        <v>0</v>
      </c>
    </row>
    <row r="45" spans="1:13" x14ac:dyDescent="0.25">
      <c r="A45" t="str">
        <f>IF(B45="","",IF(A44="",IF(A43="","",A43),A44))</f>
        <v/>
      </c>
      <c r="C45" s="36"/>
      <c r="D45" t="str">
        <f t="shared" si="40"/>
        <v/>
      </c>
      <c r="E45" t="str">
        <f t="shared" si="41"/>
        <v/>
      </c>
      <c r="F45" s="2" t="str">
        <f t="shared" ref="F45:F55" si="42">IF(B45="","",IF(F44="",IF(F43="","",F43),F44))</f>
        <v/>
      </c>
      <c r="H45" s="44" t="str">
        <f t="shared" ref="H45:H55" si="43">IFERROR(IF(B45="","",IF(D45=INDEX(N:N,MATCH(C45,M:M,0)),"",INDEX(N:N,MATCH(C45,M:M,0))&amp; " bid")&amp;IF(E45=INDEX(O:O,MATCH(C45,M:M,0)),"",IF(D45=INDEX(N:N,MATCH(C45,M:M,0)),INDEX(O:O,MATCH(C45,M:M,0))&amp;" offer"," / "&amp;INDEX(O:O,MATCH(C45,M:M,0))&amp;" offer"))),"")</f>
        <v/>
      </c>
      <c r="I45" s="6" t="str">
        <f>IF(A45="JP",IF(B45="","",IF(H45="",B45,B45&amp;" -&gt; "&amp;H45)),IF(B45="","",IF(G45="",B45,B45&amp;" -&gt; "&amp;G45)))</f>
        <v/>
      </c>
      <c r="J45" s="6"/>
    </row>
    <row r="46" spans="1:13" x14ac:dyDescent="0.25">
      <c r="A46" t="str">
        <f>IF(B46="","",IF(A45="",IF(A44="","",A44),A45))</f>
        <v/>
      </c>
      <c r="B46" s="34"/>
      <c r="C46" s="36" t="str">
        <f t="shared" ref="C46:C55" si="44">IF(B46="","",SUBSTITUTE(LEFT(B46,FIND(" ",B46)-1),"-",""))</f>
        <v/>
      </c>
      <c r="D46" t="str">
        <f t="shared" si="40"/>
        <v/>
      </c>
      <c r="E46" t="str">
        <f t="shared" si="41"/>
        <v/>
      </c>
      <c r="F46" s="2" t="str">
        <f t="shared" si="42"/>
        <v/>
      </c>
      <c r="G46" s="6" t="str">
        <f t="shared" ref="G46:G55" si="45">IFERROR(IF(B46="","",IF(D46=INDEX(N:N,MATCH(C46,M:M,0)),"best bid "&amp;IF(LEFT(INDEX(P:P,MATCH(C46,M:M,0)),1)-1=0,"","("&amp;LEFT(INDEX(P:P,MATCH(C46,M:M,0)),1)-1&amp;" with you)"),INDEX(N:N,MATCH(C46,M:M,0))&amp; " bid")&amp;" / "&amp;IF(E46=INDEX(O:O,MATCH(C46,M:M,0)),"best offer "&amp;IF(LEFT(INDEX(Q:Q,MATCH(C46,M:M,0)),1)-1=0,"","("&amp;LEFT(INDEX(Q:Q,MATCH(C46,M:M,0)),1)-1&amp;" with you)"),INDEX(O:O,MATCH(C46,M:M,0))&amp;" offer")),"")</f>
        <v/>
      </c>
      <c r="H46" s="1" t="str">
        <f t="shared" si="43"/>
        <v/>
      </c>
      <c r="I46" s="6" t="str">
        <f>IF(B46="","",IF(H46="",B46,C46&amp;" "&amp;IFERROR(IF(SEARCH("bid",H46)&gt;0,N4&amp;"*",""),D46)&amp;"/"&amp;IFERROR(IF(SEARCH("offer",H46)&gt;0,O4&amp;"*",""),E46)))</f>
        <v/>
      </c>
      <c r="J46" s="6" t="str">
        <f t="shared" ref="J46:J55" si="46">IF(A46&lt;&gt;"JP",IF(B47="","",IF(H46="",B47,B47&amp;" -&gt; "&amp;H46)),IF(B47="","",IF(G46="",B47,B47&amp;" -&gt; "&amp;G46)))</f>
        <v/>
      </c>
    </row>
    <row r="47" spans="1:13" x14ac:dyDescent="0.25">
      <c r="A47" t="str">
        <f t="shared" ref="A47:A55" si="47">IF(B47="","",IF(A46="",IF(A45="","",A45),A46))</f>
        <v/>
      </c>
      <c r="B47" s="34"/>
      <c r="C47" s="36" t="str">
        <f t="shared" si="44"/>
        <v/>
      </c>
      <c r="D47" t="str">
        <f t="shared" si="40"/>
        <v/>
      </c>
      <c r="E47" t="str">
        <f t="shared" si="41"/>
        <v/>
      </c>
      <c r="F47" s="2" t="str">
        <f t="shared" si="42"/>
        <v/>
      </c>
      <c r="G47" s="6" t="str">
        <f t="shared" si="45"/>
        <v/>
      </c>
      <c r="H47" s="1" t="str">
        <f t="shared" si="43"/>
        <v/>
      </c>
      <c r="I47" s="6" t="str">
        <f t="shared" ref="I47:I50" si="48">IF(B47="","",IF(H47="",B47,C47&amp;" "&amp;IFERROR(IF(SEARCH("bid",H47)&gt;0,N5&amp;"*",""),D47)&amp;"/"&amp;IFERROR(IF(SEARCH("offer",H47)&gt;0,O5&amp;"*",""),E47)))</f>
        <v/>
      </c>
      <c r="J47" s="6" t="str">
        <f t="shared" si="46"/>
        <v/>
      </c>
    </row>
    <row r="48" spans="1:13" x14ac:dyDescent="0.25">
      <c r="A48" t="str">
        <f t="shared" si="47"/>
        <v/>
      </c>
      <c r="B48" s="34"/>
      <c r="C48" s="36" t="str">
        <f t="shared" si="44"/>
        <v/>
      </c>
      <c r="D48" t="str">
        <f t="shared" si="40"/>
        <v/>
      </c>
      <c r="E48" t="str">
        <f t="shared" si="41"/>
        <v/>
      </c>
      <c r="F48" s="2" t="str">
        <f t="shared" si="42"/>
        <v/>
      </c>
      <c r="G48" s="6" t="str">
        <f t="shared" si="45"/>
        <v/>
      </c>
      <c r="H48" s="1" t="str">
        <f t="shared" si="43"/>
        <v/>
      </c>
      <c r="I48" s="6" t="str">
        <f t="shared" si="48"/>
        <v/>
      </c>
      <c r="J48" s="6" t="str">
        <f t="shared" si="46"/>
        <v/>
      </c>
    </row>
    <row r="49" spans="1:10" x14ac:dyDescent="0.25">
      <c r="A49" t="str">
        <f t="shared" si="47"/>
        <v/>
      </c>
      <c r="B49" s="34"/>
      <c r="C49" s="36" t="str">
        <f t="shared" si="44"/>
        <v/>
      </c>
      <c r="D49" t="str">
        <f t="shared" si="40"/>
        <v/>
      </c>
      <c r="E49" t="str">
        <f t="shared" si="41"/>
        <v/>
      </c>
      <c r="F49" s="2" t="str">
        <f t="shared" si="42"/>
        <v/>
      </c>
      <c r="G49" s="6" t="str">
        <f t="shared" si="45"/>
        <v/>
      </c>
      <c r="H49" s="1" t="str">
        <f t="shared" si="43"/>
        <v/>
      </c>
      <c r="I49" s="6" t="str">
        <f t="shared" si="48"/>
        <v/>
      </c>
      <c r="J49" s="6" t="str">
        <f t="shared" si="46"/>
        <v/>
      </c>
    </row>
    <row r="50" spans="1:10" x14ac:dyDescent="0.25">
      <c r="A50" t="str">
        <f t="shared" si="47"/>
        <v/>
      </c>
      <c r="B50" s="34"/>
      <c r="C50" s="36" t="str">
        <f t="shared" si="44"/>
        <v/>
      </c>
      <c r="D50" t="str">
        <f t="shared" si="40"/>
        <v/>
      </c>
      <c r="E50" t="str">
        <f t="shared" si="41"/>
        <v/>
      </c>
      <c r="F50" s="2" t="str">
        <f t="shared" si="42"/>
        <v/>
      </c>
      <c r="G50" s="6" t="str">
        <f t="shared" si="45"/>
        <v/>
      </c>
      <c r="H50" s="1" t="str">
        <f t="shared" si="43"/>
        <v/>
      </c>
      <c r="I50" s="6" t="str">
        <f t="shared" si="48"/>
        <v/>
      </c>
      <c r="J50" s="6" t="str">
        <f t="shared" si="46"/>
        <v/>
      </c>
    </row>
    <row r="51" spans="1:10" x14ac:dyDescent="0.25">
      <c r="A51" t="str">
        <f t="shared" si="47"/>
        <v/>
      </c>
      <c r="B51" s="34"/>
      <c r="C51" s="36" t="str">
        <f t="shared" si="44"/>
        <v/>
      </c>
      <c r="D51" t="str">
        <f t="shared" si="40"/>
        <v/>
      </c>
      <c r="E51" t="str">
        <f t="shared" si="41"/>
        <v/>
      </c>
      <c r="F51" s="2" t="str">
        <f t="shared" si="42"/>
        <v/>
      </c>
      <c r="G51" s="6" t="str">
        <f t="shared" si="45"/>
        <v/>
      </c>
      <c r="H51" s="1" t="str">
        <f t="shared" si="43"/>
        <v/>
      </c>
      <c r="I51" s="6" t="str">
        <f t="shared" ref="I51:I52" si="49">IF(A51&lt;&gt;"JP",IF(B51="","",IF(H51="",B51,B51&amp;" -&gt; "&amp;H51)),IF(B51="","",IF(G51="",B51,B51&amp;" -&gt; "&amp;G51)))</f>
        <v/>
      </c>
      <c r="J51" s="6" t="str">
        <f t="shared" si="46"/>
        <v/>
      </c>
    </row>
    <row r="52" spans="1:10" x14ac:dyDescent="0.25">
      <c r="A52" t="str">
        <f t="shared" si="47"/>
        <v/>
      </c>
      <c r="B52" s="34"/>
      <c r="C52" s="36" t="str">
        <f t="shared" si="44"/>
        <v/>
      </c>
      <c r="D52" t="str">
        <f t="shared" si="40"/>
        <v/>
      </c>
      <c r="E52" t="str">
        <f t="shared" si="41"/>
        <v/>
      </c>
      <c r="F52" s="2" t="str">
        <f t="shared" si="42"/>
        <v/>
      </c>
      <c r="G52" s="6" t="str">
        <f t="shared" si="45"/>
        <v/>
      </c>
      <c r="H52" s="1" t="str">
        <f t="shared" si="43"/>
        <v/>
      </c>
      <c r="I52" s="6" t="str">
        <f t="shared" si="49"/>
        <v/>
      </c>
      <c r="J52" s="6" t="str">
        <f t="shared" si="46"/>
        <v/>
      </c>
    </row>
    <row r="53" spans="1:10" x14ac:dyDescent="0.25">
      <c r="A53" t="str">
        <f t="shared" si="47"/>
        <v/>
      </c>
      <c r="B53" s="34"/>
      <c r="C53" s="36" t="str">
        <f t="shared" si="44"/>
        <v/>
      </c>
      <c r="D53" t="str">
        <f t="shared" si="40"/>
        <v/>
      </c>
      <c r="E53" t="str">
        <f t="shared" si="41"/>
        <v/>
      </c>
      <c r="F53" s="2" t="str">
        <f t="shared" si="42"/>
        <v/>
      </c>
      <c r="G53" s="6" t="str">
        <f t="shared" si="45"/>
        <v/>
      </c>
      <c r="H53" s="1" t="str">
        <f t="shared" si="43"/>
        <v/>
      </c>
      <c r="I53" s="6" t="str">
        <f t="shared" ref="I53:I55" si="50">IF(A53="JP",IF(B53="","",IF(H53="",B53,B53&amp;" -&gt; "&amp;H53)),IF(B53="","",IF(G53="",B53,B53&amp;" -&gt; "&amp;G53)))</f>
        <v/>
      </c>
      <c r="J53" s="6" t="str">
        <f t="shared" si="46"/>
        <v/>
      </c>
    </row>
    <row r="54" spans="1:10" x14ac:dyDescent="0.25">
      <c r="A54" t="str">
        <f t="shared" si="47"/>
        <v/>
      </c>
      <c r="B54" s="34"/>
      <c r="C54" s="36" t="str">
        <f t="shared" si="44"/>
        <v/>
      </c>
      <c r="D54" t="str">
        <f t="shared" si="40"/>
        <v/>
      </c>
      <c r="E54" t="str">
        <f t="shared" si="41"/>
        <v/>
      </c>
      <c r="F54" s="2" t="str">
        <f t="shared" si="42"/>
        <v/>
      </c>
      <c r="G54" s="6" t="str">
        <f t="shared" si="45"/>
        <v/>
      </c>
      <c r="H54" s="1" t="str">
        <f t="shared" si="43"/>
        <v/>
      </c>
      <c r="I54" s="6" t="str">
        <f t="shared" si="50"/>
        <v/>
      </c>
      <c r="J54" s="6" t="str">
        <f t="shared" si="46"/>
        <v/>
      </c>
    </row>
    <row r="55" spans="1:10" x14ac:dyDescent="0.25">
      <c r="A55" s="3" t="str">
        <f t="shared" si="47"/>
        <v/>
      </c>
      <c r="B55" s="34"/>
      <c r="C55" s="37" t="str">
        <f t="shared" si="44"/>
        <v/>
      </c>
      <c r="D55" s="4" t="str">
        <f t="shared" si="40"/>
        <v/>
      </c>
      <c r="E55" s="4" t="str">
        <f t="shared" si="41"/>
        <v/>
      </c>
      <c r="F55" s="5" t="str">
        <f t="shared" si="42"/>
        <v/>
      </c>
      <c r="G55" s="7" t="str">
        <f t="shared" si="45"/>
        <v/>
      </c>
      <c r="H55" s="3" t="str">
        <f t="shared" si="43"/>
        <v/>
      </c>
      <c r="I55" s="7" t="str">
        <f t="shared" si="50"/>
        <v/>
      </c>
      <c r="J55" s="7" t="str">
        <f t="shared" si="46"/>
        <v/>
      </c>
    </row>
    <row r="56" spans="1:10" x14ac:dyDescent="0.25">
      <c r="B56" s="12"/>
      <c r="C56" s="36" t="e">
        <f>IF(#REF!="","",SUBSTITUTE(LEFT(#REF!,FIND(" ",#REF!)-1),"-",""))</f>
        <v>#REF!</v>
      </c>
      <c r="H56" t="str">
        <f>IFERROR(IF(#REF!="","",IF(D56=INDEX(N:N,MATCH(C56,M:M,0)),"you are best bid "&amp;IF(INDEX(P:P,MATCH(C56,M:M,0))-1=0,"","("&amp;INDEX(P:P,MATCH(C56,M:M,0))-1&amp;" with you)"),INDEX(N:N,MATCH(C56,M:M,0))&amp; " bid")&amp;" / "&amp;IF(E56=INDEX(O:O,MATCH(C56,M:M,0)),"you are best offer "&amp;IF(INDEX(Q:Q,MATCH(C56,M:M,0))-1=0,"","("&amp;INDEX(Q:Q,MATCH(C56,M:M,0))-1&amp;" with you)"),INDEX(O:O,MATCH(C56,M:M,0))&amp;" offer")),"")</f>
        <v/>
      </c>
      <c r="I56" t="str">
        <f>IFERROR(IF(H56="","",C56&amp;" "&amp;INDEX(N:N,MATCH(C56,M:M,0))&amp;" / "&amp;INDEX(O:O,MATCH(C56,M:M,0))&amp;" : "&amp;H56),#REF!)</f>
        <v/>
      </c>
    </row>
    <row r="57" spans="1:10" x14ac:dyDescent="0.25">
      <c r="C57" s="36" t="str">
        <f t="shared" si="9"/>
        <v/>
      </c>
      <c r="H57" t="str">
        <f>IFERROR(IF(B57="","",IF(D57=INDEX(N:N,MATCH(C57,M:M,0)),"you are best bid "&amp;IF(INDEX(P:P,MATCH(C57,M:M,0))-1=0,"","("&amp;INDEX(P:P,MATCH(C57,M:M,0))-1&amp;" with you)"),INDEX(N:N,MATCH(C57,M:M,0))&amp; " bid")&amp;" / "&amp;IF(E57=INDEX(O:O,MATCH(C57,M:M,0)),"you are best offer "&amp;IF(INDEX(Q:Q,MATCH(C57,M:M,0))-1=0,"","("&amp;INDEX(Q:Q,MATCH(C57,M:M,0))-1&amp;" with you)"),INDEX(O:O,MATCH(C57,M:M,0))&amp;" offer")),"")</f>
        <v/>
      </c>
      <c r="I57" t="str">
        <f>IFERROR(IF(H57="","",C57&amp;" "&amp;INDEX(N:N,MATCH(C57,M:M,0))&amp;" / "&amp;INDEX(O:O,MATCH(C57,M:M,0))&amp;" : "&amp;H57),B57)</f>
        <v/>
      </c>
    </row>
    <row r="58" spans="1:10" x14ac:dyDescent="0.25">
      <c r="C58" s="36" t="str">
        <f t="shared" si="9"/>
        <v/>
      </c>
      <c r="D58" t="str">
        <f t="shared" ref="D58:D70" si="51">IF(B58="","",IFERROR(IFERROR(VALUE(SUBSTITUTE(MID(B58,FIND(" ",B58),FIND("/",B58)-FIND(" ",B58))," ","")),IF(FIND("B",UPPER(B58)),VALUE(MID(B58,FIND(" ",B58),FIND("B",UPPER(B58))-FIND(" ",B58))),"")),""))</f>
        <v/>
      </c>
      <c r="E58" t="str">
        <f t="shared" ref="E58:E70" si="52">IF(B58="","",IFERROR(IFERROR(VALUE(SUBSTITUTE(RIGHT(B58,LEN(B58)-FIND("/",B58))," ","")),IF(FIND("O",UPPER(B58)),VALUE(MID(B58,FIND(" ",B58),FIND("O",UPPER(B58))-FIND(" ",B58))),"")),""))</f>
        <v/>
      </c>
      <c r="H58" t="str">
        <f>IFERROR(IF(B58="","",IF(D58=INDEX(N:N,MATCH(C58,M:M,0)),"you are best bid "&amp;IF(INDEX(P:P,MATCH(C58,M:M,0))-1=0,"","("&amp;INDEX(P:P,MATCH(C58,M:M,0))-1&amp;" with you)"),INDEX(N:N,MATCH(C58,M:M,0))&amp; " bid")&amp;" / "&amp;IF(E58=INDEX(O:O,MATCH(C58,M:M,0)),"you are best offer "&amp;IF(INDEX(Q:Q,MATCH(C58,M:M,0))-1=0,"","("&amp;INDEX(Q:Q,MATCH(C58,M:M,0))-1&amp;" with you)"),INDEX(O:O,MATCH(C58,M:M,0))&amp;" offer")),"")</f>
        <v/>
      </c>
      <c r="I58" s="39" t="str">
        <f xml:space="preserve"> "Send to " &amp;A59</f>
        <v>Send to Barclays</v>
      </c>
    </row>
    <row r="59" spans="1:10" x14ac:dyDescent="0.25">
      <c r="A59" s="32" t="s">
        <v>35</v>
      </c>
      <c r="B59" s="33"/>
      <c r="C59" s="40">
        <v>10</v>
      </c>
      <c r="D59" s="40" t="str">
        <f t="shared" si="51"/>
        <v/>
      </c>
      <c r="E59" s="40" t="str">
        <f t="shared" si="52"/>
        <v/>
      </c>
      <c r="F59" s="41" t="str">
        <f>IF(B59="","",VALUE(SUBSTITUTE(SUBSTITUTE(SUBSTITUTE(SUBSTITUTE(RIGHT(B59,LEN(B59)-FIND("vs",B59)+1),"basis",""),"vs","")," ",""),":","")))</f>
        <v/>
      </c>
      <c r="G59" s="42" t="s">
        <v>13</v>
      </c>
      <c r="H59" s="43" t="s">
        <v>14</v>
      </c>
      <c r="I59" s="6" t="str">
        <f>IF(B59="","",B59)</f>
        <v/>
      </c>
    </row>
    <row r="60" spans="1:10" x14ac:dyDescent="0.25">
      <c r="A60" t="str">
        <f t="shared" ref="A60:A70" si="53">IF(B60="","",IF(A59="",IF(A58="","",A58),A59))</f>
        <v/>
      </c>
      <c r="C60" s="36"/>
      <c r="D60" t="str">
        <f t="shared" si="51"/>
        <v/>
      </c>
      <c r="E60" t="str">
        <f t="shared" si="52"/>
        <v/>
      </c>
      <c r="F60" s="2" t="str">
        <f t="shared" ref="F60:F70" si="54">IF(B60="","",IF(F59="",IF(F58="","",F58),F59))</f>
        <v/>
      </c>
      <c r="H60" s="44" t="str">
        <f t="shared" ref="H60:H70" si="55">IFERROR(IF(B60="","",IF(D60=INDEX(N:N,MATCH(C60,M:M,0)),"",INDEX(N:N,MATCH(C60,M:M,0))&amp; " bid")&amp;IF(E60=INDEX(O:O,MATCH(C60,M:M,0)),"",IF(D60=INDEX(N:N,MATCH(C60,M:M,0)),INDEX(O:O,MATCH(C60,M:M,0))&amp;" offer"," / "&amp;INDEX(O:O,MATCH(C60,M:M,0))&amp;" offer"))),"")</f>
        <v/>
      </c>
      <c r="I60" s="6" t="str">
        <f t="shared" ref="I60" si="56">IF(B60="","",IF(H60="",B60,B60&amp;" -&gt; "&amp;H60))</f>
        <v/>
      </c>
    </row>
    <row r="61" spans="1:10" x14ac:dyDescent="0.25">
      <c r="A61" t="str">
        <f t="shared" si="53"/>
        <v/>
      </c>
      <c r="B61" s="34"/>
      <c r="C61" s="36" t="str">
        <f t="shared" ref="C61:C70" si="57">IF(B61="","",SUBSTITUTE(LEFT(B61,FIND(" ",B61)-1),"-",""))</f>
        <v/>
      </c>
      <c r="D61" t="str">
        <f t="shared" si="51"/>
        <v/>
      </c>
      <c r="E61" t="str">
        <f t="shared" si="52"/>
        <v/>
      </c>
      <c r="F61" s="2" t="str">
        <f t="shared" si="54"/>
        <v/>
      </c>
      <c r="G61" s="6" t="str">
        <f t="shared" ref="G61:G70" si="58">IFERROR(IF(B61="","",IF(D61=INDEX(N:N,MATCH(C61,M:M,0)),"best bid "&amp;IF(LEFT(INDEX(P:P,MATCH(C61,M:M,0)),1)-1=0,"","("&amp;LEFT(INDEX(P:P,MATCH(C61,M:M,0)),1)-1&amp;" with you)"),INDEX(N:N,MATCH(C61,M:M,0))&amp; " bid")&amp;" / "&amp;IF(E61=INDEX(O:O,MATCH(C61,M:M,0)),"best offer "&amp;IF(LEFT(INDEX(Q:Q,MATCH(C61,M:M,0)),1)-1=0,"","("&amp;LEFT(INDEX(Q:Q,MATCH(C61,M:M,0)),1)-1&amp;" with you)"),INDEX(O:O,MATCH(C61,M:M,0))&amp;" offer")),"")</f>
        <v/>
      </c>
      <c r="H61" s="1" t="str">
        <f t="shared" si="55"/>
        <v/>
      </c>
      <c r="I61" s="6" t="str">
        <f t="shared" ref="I61" si="59">IF(B61="","",IF(H61="",B61,C61&amp;" "&amp;D61&amp;IFERROR(IF(SEARCH("bid",H61)&gt;0,"*",""),"")&amp;"/"&amp;E61&amp;IFERROR(IF(SEARCH("offer",H61)&gt;0,"*",""),"")&amp;" -&gt; "&amp;H61))</f>
        <v/>
      </c>
    </row>
    <row r="62" spans="1:10" x14ac:dyDescent="0.25">
      <c r="A62" t="str">
        <f t="shared" si="53"/>
        <v/>
      </c>
      <c r="B62" s="34"/>
      <c r="C62" s="36" t="str">
        <f t="shared" si="57"/>
        <v/>
      </c>
      <c r="D62" t="str">
        <f t="shared" si="51"/>
        <v/>
      </c>
      <c r="E62" t="str">
        <f t="shared" si="52"/>
        <v/>
      </c>
      <c r="F62" s="2" t="str">
        <f t="shared" si="54"/>
        <v/>
      </c>
      <c r="G62" s="6" t="str">
        <f t="shared" si="58"/>
        <v/>
      </c>
      <c r="H62" s="1" t="str">
        <f t="shared" si="55"/>
        <v/>
      </c>
      <c r="I62" s="6" t="str">
        <f>IF(B62="","",IF(H62="",B62,C62&amp;" "&amp;D62&amp;IFERROR(IF(SEARCH("bid",H62)&gt;0,"*",""),"")&amp;"/"&amp;E62&amp;IFERROR(IF(SEARCH("offer",H62)&gt;0,"*",""),"")&amp;" -&gt; "&amp;H62))</f>
        <v/>
      </c>
    </row>
    <row r="63" spans="1:10" x14ac:dyDescent="0.25">
      <c r="A63" t="str">
        <f t="shared" si="53"/>
        <v/>
      </c>
      <c r="B63" s="34"/>
      <c r="C63" s="36" t="str">
        <f t="shared" si="57"/>
        <v/>
      </c>
      <c r="D63" t="str">
        <f t="shared" si="51"/>
        <v/>
      </c>
      <c r="E63" t="str">
        <f t="shared" si="52"/>
        <v/>
      </c>
      <c r="F63" s="2" t="str">
        <f t="shared" si="54"/>
        <v/>
      </c>
      <c r="G63" s="6" t="str">
        <f t="shared" si="58"/>
        <v/>
      </c>
      <c r="H63" s="1" t="str">
        <f t="shared" si="55"/>
        <v/>
      </c>
      <c r="I63" s="6" t="str">
        <f t="shared" ref="I63:I65" si="60">IF(B63="","",IF(H63="",B63,C63&amp;" "&amp;D63&amp;IFERROR(IF(SEARCH("bid",H63)&gt;0,"*",""),"")&amp;"/"&amp;E63&amp;IFERROR(IF(SEARCH("offer",H63)&gt;0,"*",""),"")&amp;" -&gt; "&amp;H63))</f>
        <v/>
      </c>
    </row>
    <row r="64" spans="1:10" x14ac:dyDescent="0.25">
      <c r="A64" t="str">
        <f t="shared" si="53"/>
        <v/>
      </c>
      <c r="B64" s="34"/>
      <c r="C64" s="36" t="str">
        <f t="shared" si="57"/>
        <v/>
      </c>
      <c r="D64" t="str">
        <f t="shared" si="51"/>
        <v/>
      </c>
      <c r="E64" t="str">
        <f t="shared" si="52"/>
        <v/>
      </c>
      <c r="F64" s="2" t="str">
        <f t="shared" si="54"/>
        <v/>
      </c>
      <c r="G64" s="6" t="str">
        <f t="shared" si="58"/>
        <v/>
      </c>
      <c r="H64" s="1" t="str">
        <f t="shared" si="55"/>
        <v/>
      </c>
      <c r="I64" s="6" t="str">
        <f t="shared" si="60"/>
        <v/>
      </c>
    </row>
    <row r="65" spans="1:9" x14ac:dyDescent="0.25">
      <c r="A65" t="str">
        <f t="shared" si="53"/>
        <v/>
      </c>
      <c r="B65" s="34"/>
      <c r="C65" s="36" t="str">
        <f t="shared" si="57"/>
        <v/>
      </c>
      <c r="D65" t="str">
        <f t="shared" si="51"/>
        <v/>
      </c>
      <c r="E65" t="str">
        <f t="shared" si="52"/>
        <v/>
      </c>
      <c r="F65" s="2" t="str">
        <f t="shared" si="54"/>
        <v/>
      </c>
      <c r="G65" s="6" t="str">
        <f t="shared" si="58"/>
        <v/>
      </c>
      <c r="H65" s="1" t="str">
        <f t="shared" si="55"/>
        <v/>
      </c>
      <c r="I65" s="6" t="str">
        <f t="shared" si="60"/>
        <v/>
      </c>
    </row>
    <row r="66" spans="1:9" x14ac:dyDescent="0.25">
      <c r="A66" t="str">
        <f t="shared" si="53"/>
        <v/>
      </c>
      <c r="B66" s="34"/>
      <c r="C66" s="36" t="str">
        <f t="shared" si="57"/>
        <v/>
      </c>
      <c r="D66" t="str">
        <f t="shared" si="51"/>
        <v/>
      </c>
      <c r="E66" t="str">
        <f t="shared" si="52"/>
        <v/>
      </c>
      <c r="F66" s="2" t="str">
        <f t="shared" si="54"/>
        <v/>
      </c>
      <c r="G66" s="6" t="str">
        <f t="shared" si="58"/>
        <v/>
      </c>
      <c r="H66" s="1" t="str">
        <f t="shared" si="55"/>
        <v/>
      </c>
      <c r="I66" s="6" t="str">
        <f t="shared" ref="I66:I67" si="61">IF(A66&lt;&gt;"JP",IF(B66="","",IF(H66="",B66,B66&amp;" -&gt; "&amp;H66)),IF(B66="","",IF(G66="",B66,B66&amp;" -&gt; "&amp;G66)))</f>
        <v/>
      </c>
    </row>
    <row r="67" spans="1:9" x14ac:dyDescent="0.25">
      <c r="A67" t="str">
        <f t="shared" si="53"/>
        <v/>
      </c>
      <c r="B67" s="34"/>
      <c r="C67" s="36" t="str">
        <f t="shared" si="57"/>
        <v/>
      </c>
      <c r="D67" t="str">
        <f t="shared" si="51"/>
        <v/>
      </c>
      <c r="E67" t="str">
        <f t="shared" si="52"/>
        <v/>
      </c>
      <c r="F67" s="2" t="str">
        <f t="shared" si="54"/>
        <v/>
      </c>
      <c r="G67" s="6" t="str">
        <f t="shared" si="58"/>
        <v/>
      </c>
      <c r="H67" s="1" t="str">
        <f t="shared" si="55"/>
        <v/>
      </c>
      <c r="I67" s="6" t="str">
        <f t="shared" si="61"/>
        <v/>
      </c>
    </row>
    <row r="68" spans="1:9" x14ac:dyDescent="0.25">
      <c r="A68" t="str">
        <f t="shared" si="53"/>
        <v/>
      </c>
      <c r="B68" s="34"/>
      <c r="C68" s="36" t="str">
        <f t="shared" si="57"/>
        <v/>
      </c>
      <c r="D68" t="str">
        <f t="shared" si="51"/>
        <v/>
      </c>
      <c r="E68" t="str">
        <f t="shared" si="52"/>
        <v/>
      </c>
      <c r="F68" s="2" t="str">
        <f t="shared" si="54"/>
        <v/>
      </c>
      <c r="G68" s="6" t="str">
        <f t="shared" si="58"/>
        <v/>
      </c>
      <c r="H68" s="1" t="str">
        <f t="shared" si="55"/>
        <v/>
      </c>
      <c r="I68" s="6" t="str">
        <f t="shared" ref="I68:I70" si="62">IF(A68="JP",IF(B68="","",IF(H68="",B68,B68&amp;" -&gt; "&amp;H68)),IF(B68="","",IF(G68="",B68,B68&amp;" -&gt; "&amp;G68)))</f>
        <v/>
      </c>
    </row>
    <row r="69" spans="1:9" x14ac:dyDescent="0.25">
      <c r="A69" t="str">
        <f t="shared" si="53"/>
        <v/>
      </c>
      <c r="B69" s="34"/>
      <c r="C69" s="36" t="str">
        <f t="shared" si="57"/>
        <v/>
      </c>
      <c r="D69" t="str">
        <f t="shared" si="51"/>
        <v/>
      </c>
      <c r="E69" t="str">
        <f t="shared" si="52"/>
        <v/>
      </c>
      <c r="F69" s="2" t="str">
        <f t="shared" si="54"/>
        <v/>
      </c>
      <c r="G69" s="6" t="str">
        <f t="shared" si="58"/>
        <v/>
      </c>
      <c r="H69" s="1" t="str">
        <f t="shared" si="55"/>
        <v/>
      </c>
      <c r="I69" s="6" t="str">
        <f t="shared" si="62"/>
        <v/>
      </c>
    </row>
    <row r="70" spans="1:9" x14ac:dyDescent="0.25">
      <c r="A70" s="3" t="str">
        <f t="shared" si="53"/>
        <v/>
      </c>
      <c r="B70" s="35"/>
      <c r="C70" s="37" t="str">
        <f t="shared" si="57"/>
        <v/>
      </c>
      <c r="D70" s="4" t="str">
        <f t="shared" si="51"/>
        <v/>
      </c>
      <c r="E70" s="4" t="str">
        <f t="shared" si="52"/>
        <v/>
      </c>
      <c r="F70" s="5" t="str">
        <f t="shared" si="54"/>
        <v/>
      </c>
      <c r="G70" s="7" t="str">
        <f t="shared" si="58"/>
        <v/>
      </c>
      <c r="H70" s="3" t="str">
        <f t="shared" si="55"/>
        <v/>
      </c>
      <c r="I70" s="7" t="str">
        <f t="shared" si="62"/>
        <v/>
      </c>
    </row>
    <row r="73" spans="1:9" x14ac:dyDescent="0.25">
      <c r="C73" s="36" t="str">
        <f t="shared" ref="C73:C85" si="63">IF(B73="","",SUBSTITUTE(LEFT(B73,FIND(" ",B73)-1),"-",""))</f>
        <v/>
      </c>
      <c r="D73" t="str">
        <f t="shared" ref="D73:D85" si="64">IF(B73="","",IFERROR(IFERROR(VALUE(SUBSTITUTE(MID(B73,FIND(" ",B73),FIND("/",B73)-FIND(" ",B73))," ","")),IF(FIND("B",UPPER(B73)),VALUE(MID(B73,FIND(" ",B73),FIND("B",UPPER(B73))-FIND(" ",B73))),"")),""))</f>
        <v/>
      </c>
      <c r="E73" t="str">
        <f t="shared" ref="E73:E85" si="65">IF(B73="","",IFERROR(IFERROR(VALUE(SUBSTITUTE(RIGHT(B73,LEN(B73)-FIND("/",B73))," ","")),IF(FIND("O",UPPER(B73)),VALUE(MID(B73,FIND(" ",B73),FIND("O",UPPER(B73))-FIND(" ",B73))),"")),""))</f>
        <v/>
      </c>
      <c r="H73" t="str">
        <f>IFERROR(IF(B73="","",IF(D73=INDEX(N:N,MATCH(C73,M:M,0)),"you are best bid "&amp;IF(INDEX(P:P,MATCH(C73,M:M,0))-1=0,"","("&amp;INDEX(P:P,MATCH(C73,M:M,0))-1&amp;" with you)"),INDEX(N:N,MATCH(C73,M:M,0))&amp; " bid")&amp;" / "&amp;IF(E73=INDEX(O:O,MATCH(C73,M:M,0)),"you are best offer "&amp;IF(INDEX(Q:Q,MATCH(C73,M:M,0))-1=0,"","("&amp;INDEX(Q:Q,MATCH(C73,M:M,0))-1&amp;" with you)"),INDEX(O:O,MATCH(C73,M:M,0))&amp;" offer")),"")</f>
        <v/>
      </c>
      <c r="I73" s="39" t="str">
        <f xml:space="preserve"> "Send to " &amp;A74</f>
        <v xml:space="preserve">Send to </v>
      </c>
    </row>
    <row r="74" spans="1:9" x14ac:dyDescent="0.25">
      <c r="A74" s="32"/>
      <c r="B74" s="33"/>
      <c r="C74" s="40" t="str">
        <f t="shared" si="63"/>
        <v/>
      </c>
      <c r="D74" s="40" t="str">
        <f t="shared" si="64"/>
        <v/>
      </c>
      <c r="E74" s="40" t="str">
        <f t="shared" si="65"/>
        <v/>
      </c>
      <c r="F74" s="41" t="str">
        <f>IF(B74="","",VALUE(SUBSTITUTE(SUBSTITUTE(SUBSTITUTE(SUBSTITUTE(RIGHT(B74,LEN(B74)-FIND("vs",B74)+1),"basis",""),"vs","")," ",""),":","")))</f>
        <v/>
      </c>
      <c r="G74" s="42" t="s">
        <v>13</v>
      </c>
      <c r="H74" s="43" t="s">
        <v>14</v>
      </c>
      <c r="I74" s="6">
        <f>B74</f>
        <v>0</v>
      </c>
    </row>
    <row r="75" spans="1:9" x14ac:dyDescent="0.25">
      <c r="A75" t="str">
        <f t="shared" ref="A75:A85" si="66">IF(B75="","",IF(A74="",IF(A73="","",A73),A74))</f>
        <v/>
      </c>
      <c r="C75" s="36" t="str">
        <f t="shared" si="63"/>
        <v/>
      </c>
      <c r="D75" t="str">
        <f t="shared" si="64"/>
        <v/>
      </c>
      <c r="E75" t="str">
        <f t="shared" si="65"/>
        <v/>
      </c>
      <c r="F75" s="2" t="str">
        <f t="shared" ref="F75:F85" si="67">IF(B75="","",IF(F74="",IF(F73="","",F73),F74))</f>
        <v/>
      </c>
      <c r="H75" s="44" t="str">
        <f t="shared" ref="H75:H85" si="68">IFERROR(IF(B75="","",IF(D75=INDEX(N:N,MATCH(C75,M:M,0)),"",INDEX(N:N,MATCH(C75,M:M,0))&amp; " bid")&amp;IF(E75=INDEX(O:O,MATCH(C75,M:M,0)),"",IF(D75=INDEX(N:N,MATCH(C75,M:M,0)),INDEX(O:O,MATCH(C75,M:M,0))&amp;" offer"," / "&amp;INDEX(O:O,MATCH(C75,M:M,0))&amp;" offer"))),"")</f>
        <v/>
      </c>
      <c r="I75" s="6" t="str">
        <f t="shared" ref="I75" si="69">IF(B75="","",IF(H75="",B75,B75&amp;" -&gt; "&amp;H75))</f>
        <v/>
      </c>
    </row>
    <row r="76" spans="1:9" x14ac:dyDescent="0.25">
      <c r="A76" t="str">
        <f t="shared" si="66"/>
        <v/>
      </c>
      <c r="B76" s="34"/>
      <c r="C76" s="36" t="str">
        <f t="shared" si="63"/>
        <v/>
      </c>
      <c r="D76" t="str">
        <f t="shared" si="64"/>
        <v/>
      </c>
      <c r="E76" t="str">
        <f t="shared" si="65"/>
        <v/>
      </c>
      <c r="F76" s="2" t="str">
        <f t="shared" si="67"/>
        <v/>
      </c>
      <c r="G76" s="6" t="str">
        <f t="shared" ref="G76:G85" si="70">IFERROR(IF(B76="","",IF(D76=INDEX(N:N,MATCH(C76,M:M,0)),"best bid "&amp;IF(LEFT(INDEX(P:P,MATCH(C76,M:M,0)),1)-1=0,"","("&amp;LEFT(INDEX(P:P,MATCH(C76,M:M,0)),1)-1&amp;" with you)"),INDEX(N:N,MATCH(C76,M:M,0))&amp; " bid")&amp;" / "&amp;IF(E76=INDEX(O:O,MATCH(C76,M:M,0)),"best offer "&amp;IF(LEFT(INDEX(Q:Q,MATCH(C76,M:M,0)),1)-1=0,"","("&amp;LEFT(INDEX(Q:Q,MATCH(C76,M:M,0)),1)-1&amp;" with you)"),INDEX(O:O,MATCH(C76,M:M,0))&amp;" offer")),"")</f>
        <v/>
      </c>
      <c r="H76" s="1" t="str">
        <f t="shared" si="68"/>
        <v/>
      </c>
      <c r="I76" s="6" t="str">
        <f t="shared" ref="I76:I82" si="71">IF(A76&lt;&gt;"JP",IF(B76="","",IF(H76="",B76,B76&amp;" -&gt; "&amp;H76)),IF(B76="","",IF(G76="",B76,B76&amp;" -&gt; "&amp;G76)))</f>
        <v/>
      </c>
    </row>
    <row r="77" spans="1:9" x14ac:dyDescent="0.25">
      <c r="A77" t="str">
        <f t="shared" si="66"/>
        <v/>
      </c>
      <c r="B77" s="34"/>
      <c r="C77" s="36" t="str">
        <f t="shared" si="63"/>
        <v/>
      </c>
      <c r="D77" t="str">
        <f t="shared" si="64"/>
        <v/>
      </c>
      <c r="E77" t="str">
        <f t="shared" si="65"/>
        <v/>
      </c>
      <c r="F77" s="2" t="str">
        <f t="shared" si="67"/>
        <v/>
      </c>
      <c r="G77" s="6" t="str">
        <f t="shared" si="70"/>
        <v/>
      </c>
      <c r="H77" s="1" t="str">
        <f t="shared" si="68"/>
        <v/>
      </c>
      <c r="I77" s="6" t="str">
        <f t="shared" si="71"/>
        <v/>
      </c>
    </row>
    <row r="78" spans="1:9" x14ac:dyDescent="0.25">
      <c r="A78" t="str">
        <f t="shared" si="66"/>
        <v/>
      </c>
      <c r="B78" s="34"/>
      <c r="C78" s="36" t="str">
        <f t="shared" si="63"/>
        <v/>
      </c>
      <c r="D78" t="str">
        <f t="shared" si="64"/>
        <v/>
      </c>
      <c r="E78" t="str">
        <f t="shared" si="65"/>
        <v/>
      </c>
      <c r="F78" s="2" t="str">
        <f t="shared" si="67"/>
        <v/>
      </c>
      <c r="G78" s="6" t="str">
        <f t="shared" si="70"/>
        <v/>
      </c>
      <c r="H78" s="1" t="str">
        <f t="shared" si="68"/>
        <v/>
      </c>
      <c r="I78" s="6" t="str">
        <f t="shared" si="71"/>
        <v/>
      </c>
    </row>
    <row r="79" spans="1:9" x14ac:dyDescent="0.25">
      <c r="A79" t="str">
        <f t="shared" si="66"/>
        <v/>
      </c>
      <c r="B79" s="34"/>
      <c r="C79" s="36" t="str">
        <f t="shared" si="63"/>
        <v/>
      </c>
      <c r="D79" t="str">
        <f t="shared" si="64"/>
        <v/>
      </c>
      <c r="E79" t="str">
        <f t="shared" si="65"/>
        <v/>
      </c>
      <c r="F79" s="2" t="str">
        <f t="shared" si="67"/>
        <v/>
      </c>
      <c r="G79" s="6" t="str">
        <f t="shared" si="70"/>
        <v/>
      </c>
      <c r="H79" s="1" t="str">
        <f t="shared" si="68"/>
        <v/>
      </c>
      <c r="I79" s="6" t="str">
        <f t="shared" si="71"/>
        <v/>
      </c>
    </row>
    <row r="80" spans="1:9" x14ac:dyDescent="0.25">
      <c r="A80" t="str">
        <f t="shared" si="66"/>
        <v/>
      </c>
      <c r="B80" s="34"/>
      <c r="C80" s="36" t="str">
        <f t="shared" si="63"/>
        <v/>
      </c>
      <c r="D80" t="str">
        <f t="shared" si="64"/>
        <v/>
      </c>
      <c r="E80" t="str">
        <f t="shared" si="65"/>
        <v/>
      </c>
      <c r="F80" s="2" t="str">
        <f t="shared" si="67"/>
        <v/>
      </c>
      <c r="G80" s="6" t="str">
        <f t="shared" si="70"/>
        <v/>
      </c>
      <c r="H80" s="1" t="str">
        <f t="shared" si="68"/>
        <v/>
      </c>
      <c r="I80" s="6" t="str">
        <f t="shared" si="71"/>
        <v/>
      </c>
    </row>
    <row r="81" spans="1:9" x14ac:dyDescent="0.25">
      <c r="A81" t="str">
        <f t="shared" si="66"/>
        <v/>
      </c>
      <c r="B81" s="34"/>
      <c r="C81" s="36" t="str">
        <f t="shared" si="63"/>
        <v/>
      </c>
      <c r="D81" t="str">
        <f t="shared" si="64"/>
        <v/>
      </c>
      <c r="E81" t="str">
        <f t="shared" si="65"/>
        <v/>
      </c>
      <c r="F81" s="2" t="str">
        <f t="shared" si="67"/>
        <v/>
      </c>
      <c r="G81" s="6" t="str">
        <f t="shared" si="70"/>
        <v/>
      </c>
      <c r="H81" s="1" t="str">
        <f t="shared" si="68"/>
        <v/>
      </c>
      <c r="I81" s="6" t="str">
        <f t="shared" si="71"/>
        <v/>
      </c>
    </row>
    <row r="82" spans="1:9" x14ac:dyDescent="0.25">
      <c r="A82" t="str">
        <f t="shared" si="66"/>
        <v/>
      </c>
      <c r="B82" s="34"/>
      <c r="C82" s="36" t="str">
        <f t="shared" si="63"/>
        <v/>
      </c>
      <c r="D82" t="str">
        <f t="shared" si="64"/>
        <v/>
      </c>
      <c r="E82" t="str">
        <f t="shared" si="65"/>
        <v/>
      </c>
      <c r="F82" s="2" t="str">
        <f t="shared" si="67"/>
        <v/>
      </c>
      <c r="G82" s="6" t="str">
        <f t="shared" si="70"/>
        <v/>
      </c>
      <c r="H82" s="1" t="str">
        <f t="shared" si="68"/>
        <v/>
      </c>
      <c r="I82" s="6" t="str">
        <f t="shared" si="71"/>
        <v/>
      </c>
    </row>
    <row r="83" spans="1:9" x14ac:dyDescent="0.25">
      <c r="A83" t="str">
        <f t="shared" si="66"/>
        <v/>
      </c>
      <c r="B83" s="34"/>
      <c r="C83" s="36" t="str">
        <f t="shared" si="63"/>
        <v/>
      </c>
      <c r="D83" t="str">
        <f t="shared" si="64"/>
        <v/>
      </c>
      <c r="E83" t="str">
        <f t="shared" si="65"/>
        <v/>
      </c>
      <c r="F83" s="2" t="str">
        <f t="shared" si="67"/>
        <v/>
      </c>
      <c r="G83" s="6" t="str">
        <f t="shared" si="70"/>
        <v/>
      </c>
      <c r="H83" s="1" t="str">
        <f t="shared" si="68"/>
        <v/>
      </c>
      <c r="I83" s="6" t="str">
        <f t="shared" ref="I83:I85" si="72">IF(A83="JP",IF(B83="","",IF(H83="",B83,B83&amp;" -&gt; "&amp;H83)),IF(B83="","",IF(G83="",B83,B83&amp;" -&gt; "&amp;G83)))</f>
        <v/>
      </c>
    </row>
    <row r="84" spans="1:9" x14ac:dyDescent="0.25">
      <c r="A84" t="str">
        <f t="shared" si="66"/>
        <v/>
      </c>
      <c r="B84" s="34"/>
      <c r="C84" s="36" t="str">
        <f t="shared" si="63"/>
        <v/>
      </c>
      <c r="D84" t="str">
        <f t="shared" si="64"/>
        <v/>
      </c>
      <c r="E84" t="str">
        <f t="shared" si="65"/>
        <v/>
      </c>
      <c r="F84" s="2" t="str">
        <f t="shared" si="67"/>
        <v/>
      </c>
      <c r="G84" s="6" t="str">
        <f t="shared" si="70"/>
        <v/>
      </c>
      <c r="H84" s="1" t="str">
        <f t="shared" si="68"/>
        <v/>
      </c>
      <c r="I84" s="6" t="str">
        <f t="shared" si="72"/>
        <v/>
      </c>
    </row>
    <row r="85" spans="1:9" x14ac:dyDescent="0.25">
      <c r="A85" s="3" t="str">
        <f t="shared" si="66"/>
        <v/>
      </c>
      <c r="B85" s="35"/>
      <c r="C85" s="37" t="str">
        <f t="shared" si="63"/>
        <v/>
      </c>
      <c r="D85" s="4" t="str">
        <f t="shared" si="64"/>
        <v/>
      </c>
      <c r="E85" s="4" t="str">
        <f t="shared" si="65"/>
        <v/>
      </c>
      <c r="F85" s="5" t="str">
        <f t="shared" si="67"/>
        <v/>
      </c>
      <c r="G85" s="7" t="str">
        <f t="shared" si="70"/>
        <v/>
      </c>
      <c r="H85" s="3" t="str">
        <f t="shared" si="68"/>
        <v/>
      </c>
      <c r="I85" s="7" t="str">
        <f t="shared" si="72"/>
        <v/>
      </c>
    </row>
  </sheetData>
  <protectedRanges>
    <protectedRange algorithmName="SHA-512" hashValue="bGa0JHQvuAvS+CIKGv4h6jxolT8syN9swMMb451WFHyAfk57McW5GwQA1RhbORj5hvniJGuL62PrVv3pdjc9ww==" saltValue="aXftsKeSpNlupgcWY0GXTg==" spinCount="100000" sqref="A1:B1 A3:B3 A5:I13 C3:H4 I2:I4" name="Range3"/>
    <protectedRange algorithmName="SHA-512" hashValue="GVv/MFTYnzm2lGIO/toeDUhxlXEj/JT0+gtwYcZI6livqgjUdI6GC9lrLPfm74cWjSCosISZOBjmOmtnl1jsOQ==" saltValue="k9KQjEAyaB/UH2kENNskWw==" spinCount="100000" sqref="AP1:AP12" name="Range2"/>
    <protectedRange algorithmName="SHA-512" hashValue="E9NtTKm8hxMbrMYlbkIXZmanQ/4KOhF0dVJVFCvuAm2cYeMZZYXGd/nw/svg50JGWpIgHECvS8brQLRl3kGwtw==" saltValue="NZ/xnAUFeS5d9MJ61UEUvw==" spinCount="100000" sqref="A1:B3 A5:B15 A27:B1048576 A16:A26" name="Range1"/>
    <protectedRange algorithmName="SHA-512" hashValue="E9NtTKm8hxMbrMYlbkIXZmanQ/4KOhF0dVJVFCvuAm2cYeMZZYXGd/nw/svg50JGWpIgHECvS8brQLRl3kGwtw==" saltValue="NZ/xnAUFeS5d9MJ61UEUvw==" spinCount="100000" sqref="B16:B26" name="Range1_1"/>
  </protectedRanges>
  <mergeCells count="2">
    <mergeCell ref="M2:O2"/>
    <mergeCell ref="M31:M41"/>
  </mergeCells>
  <conditionalFormatting sqref="M31:M41">
    <cfRule type="containsText" dxfId="9" priority="9" operator="containsText" text="CARE, NOT THE SAME BASIS">
      <formula>NOT(ISERROR(SEARCH("CARE, NOT THE SAME BASIS",M31)))</formula>
    </cfRule>
    <cfRule type="cellIs" dxfId="8" priority="10" operator="equal">
      <formula>"""CARE, NOT THE SAME BASIS"""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urnous">
                <anchor moveWithCells="1" sizeWithCells="1">
                  <from>
                    <xdr:col>16</xdr:col>
                    <xdr:colOff>1076325</xdr:colOff>
                    <xdr:row>16</xdr:row>
                    <xdr:rowOff>57150</xdr:rowOff>
                  </from>
                  <to>
                    <xdr:col>17</xdr:col>
                    <xdr:colOff>933450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oureux">
                <anchor moveWithCells="1" sizeWithCells="1">
                  <from>
                    <xdr:col>16</xdr:col>
                    <xdr:colOff>1066800</xdr:colOff>
                    <xdr:row>20</xdr:row>
                    <xdr:rowOff>76200</xdr:rowOff>
                  </from>
                  <to>
                    <xdr:col>17</xdr:col>
                    <xdr:colOff>933450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pourdem">
                <anchor moveWithCells="1" sizeWithCells="1">
                  <from>
                    <xdr:col>17</xdr:col>
                    <xdr:colOff>1181100</xdr:colOff>
                    <xdr:row>19</xdr:row>
                    <xdr:rowOff>0</xdr:rowOff>
                  </from>
                  <to>
                    <xdr:col>18</xdr:col>
                    <xdr:colOff>152400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_xludf.Clear">
                <anchor moveWithCells="1" sizeWithCells="1">
                  <from>
                    <xdr:col>17</xdr:col>
                    <xdr:colOff>1095375</xdr:colOff>
                    <xdr:row>16</xdr:row>
                    <xdr:rowOff>38100</xdr:rowOff>
                  </from>
                  <to>
                    <xdr:col>18</xdr:col>
                    <xdr:colOff>171450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99E0B-3111-4CFA-8AF1-0F92EE9C202E}">
  <sheetPr codeName="Sheet8"/>
  <dimension ref="A1:AQ113"/>
  <sheetViews>
    <sheetView topLeftCell="B1" zoomScaleNormal="100" workbookViewId="0">
      <selection activeCell="N23" sqref="N23"/>
    </sheetView>
  </sheetViews>
  <sheetFormatPr defaultRowHeight="15" outlineLevelCol="2" x14ac:dyDescent="0.25"/>
  <cols>
    <col min="2" max="2" width="25.5703125" bestFit="1" customWidth="1"/>
    <col min="3" max="6" width="9.140625" hidden="1" customWidth="1" outlineLevel="2"/>
    <col min="7" max="7" width="44.140625" hidden="1" customWidth="1" outlineLevel="2"/>
    <col min="8" max="8" width="17" hidden="1" customWidth="1" outlineLevel="2"/>
    <col min="9" max="9" width="58.5703125" hidden="1" customWidth="1" outlineLevel="2" collapsed="1"/>
    <col min="10" max="10" width="58.42578125" customWidth="1" outlineLevel="1" collapsed="1"/>
    <col min="11" max="11" width="15.28515625" bestFit="1" customWidth="1"/>
    <col min="12" max="12" width="8.140625" customWidth="1"/>
    <col min="13" max="13" width="34.85546875" customWidth="1"/>
    <col min="14" max="14" width="10.5703125" customWidth="1"/>
    <col min="16" max="16" width="20.7109375" style="9" customWidth="1"/>
    <col min="17" max="17" width="19.140625" style="9" customWidth="1"/>
    <col min="18" max="18" width="30.85546875" bestFit="1" customWidth="1"/>
    <col min="19" max="19" width="22.28515625" customWidth="1"/>
    <col min="20" max="20" width="9.140625" hidden="1" customWidth="1" outlineLevel="1"/>
    <col min="21" max="40" width="9.140625" hidden="1" customWidth="1" outlineLevel="2"/>
    <col min="41" max="42" width="14" hidden="1" customWidth="1" outlineLevel="2"/>
    <col min="43" max="43" width="35" customWidth="1" collapsed="1"/>
  </cols>
  <sheetData>
    <row r="1" spans="1:43" ht="15.75" customHeight="1" x14ac:dyDescent="0.25">
      <c r="A1" s="32" t="s">
        <v>18</v>
      </c>
      <c r="B1" s="46"/>
      <c r="AQ1" s="45" t="str">
        <f>LEFT(M2,22)&amp;"colour " &amp; RIGHT(M2,9)</f>
        <v>Tightest SX5E TRF vs 6colour  TRF vs 6</v>
      </c>
    </row>
    <row r="2" spans="1:43" x14ac:dyDescent="0.25">
      <c r="I2" t="str">
        <f t="shared" ref="I2:I4" si="0">IF(B2="","",IF(H2="",B2,B2&amp;" -&gt; "&amp;H2))</f>
        <v/>
      </c>
      <c r="K2" t="str">
        <f t="shared" ref="K2:K13" si="1">IF(AND(D2=$N$4,COUNTIF(D:D,$N$4)=1),"Best bid solo","") &amp; " " &amp; IF(AND(E2=$O$4,COUNTIF(E:E,$O$4)=1),"Best offer solo","")</f>
        <v xml:space="preserve"> </v>
      </c>
      <c r="M2" s="58" t="str">
        <f xml:space="preserve"> M16</f>
        <v>Tightest SX5E TRF vs 6</v>
      </c>
      <c r="N2" s="60" t="str">
        <f ca="1">TEXT(NOW(),"hh:mm:ss")</f>
        <v>17:44:41</v>
      </c>
      <c r="O2" s="59" cm="1">
        <f t="array" ref="O2">_xll.BDP("SX5E Index","Last_price")</f>
        <v>4017.83</v>
      </c>
      <c r="P2" s="29" t="s">
        <v>9</v>
      </c>
      <c r="Q2" s="30" t="s">
        <v>10</v>
      </c>
      <c r="S2" t="s">
        <v>15</v>
      </c>
      <c r="U2" s="11" t="s">
        <v>11</v>
      </c>
      <c r="V2" s="12"/>
      <c r="W2" s="13"/>
      <c r="X2" s="13"/>
      <c r="Y2" s="12"/>
      <c r="Z2" s="12"/>
      <c r="AA2" s="12"/>
      <c r="AB2" s="12"/>
      <c r="AC2" s="12"/>
      <c r="AD2" s="14"/>
      <c r="AF2" s="11" t="s">
        <v>12</v>
      </c>
      <c r="AG2" s="12"/>
      <c r="AH2" s="13"/>
      <c r="AI2" s="13"/>
      <c r="AJ2" s="18" t="str" cm="1">
        <f t="array" ref="AJ2">IFERROR(INDEX(A:A,SMALL(IF(D:D=$N8,ROW(D:D)-ROW($D5)+1),ROWS(D:D))),"")</f>
        <v/>
      </c>
      <c r="AK2" s="12"/>
      <c r="AL2" s="12"/>
      <c r="AM2" s="12"/>
      <c r="AN2" s="12"/>
      <c r="AO2" s="12"/>
      <c r="AP2" s="144"/>
      <c r="AQ2" s="6" t="str">
        <f>IF(P3&lt;&gt;"",M3&amp;" ("&amp;LEFT(P3,1) &amp;") "&amp;N3&amp;"/"&amp; O3 &amp;" ("&amp; LEFT(Q3,1) &amp;")","")</f>
        <v>Mar23 (1) -9/0 (1)</v>
      </c>
    </row>
    <row r="3" spans="1:43" x14ac:dyDescent="0.25">
      <c r="C3" t="str">
        <f t="shared" ref="C3:C5" si="2">IF(B3="","",SUBSTITUTE(LEFT(B3,FIND(" ",B3)-1),"-",""))</f>
        <v/>
      </c>
      <c r="D3" t="str">
        <f t="shared" ref="D3:D5" si="3">IF(B3="","",IFERROR(IFERROR(VALUE(SUBSTITUTE(MID(B3,FIND(" ",B3),FIND("/",B3)-FIND(" ",B3))," ","")),IF(FIND("B",UPPER(B3)),VALUE(MID(B3,FIND(" ",B3),FIND("B",UPPER(B3))-FIND(" ",B3))),"")),""))</f>
        <v/>
      </c>
      <c r="E3" t="str">
        <f t="shared" ref="E3:E5" si="4">IF(B3="","",IFERROR(IFERROR(VALUE(SUBSTITUTE(RIGHT(B3,LEN(B3)-FIND("/",B3))," ","")),IF(FIND("O",UPPER(B3)),VALUE(MID(B3,FIND(" ",B3),FIND("O",UPPER(B3))-FIND(" ",B3))),"")),""))</f>
        <v/>
      </c>
      <c r="F3" t="str">
        <f t="shared" ref="F3:F5" si="5">IF(B3="","",IF(F2="",IF(F1="","",F1),F2))</f>
        <v/>
      </c>
      <c r="H3" t="str">
        <f t="shared" ref="H3:H13" si="6">IFERROR(IF(B3="","",IF(D3=INDEX(N:N,MATCH(C3,M:M,0)),"",INDEX(N:N,MATCH(C3,M:M,0))&amp; " bid")&amp;IF(E3=INDEX(O:O,MATCH(C3,M:M,0)),"",IF(D3=INDEX(N:N,MATCH(C3,M:M,0)),INDEX(O:O,MATCH(C3,M:M,0))&amp;" offer"," / "&amp;INDEX(O:O,MATCH(C3,M:M,0))&amp;" offer"))),"")</f>
        <v/>
      </c>
      <c r="I3" t="str">
        <f t="shared" si="0"/>
        <v/>
      </c>
      <c r="K3" t="str">
        <f t="shared" si="1"/>
        <v xml:space="preserve"> </v>
      </c>
      <c r="M3" s="62" t="s">
        <v>39</v>
      </c>
      <c r="N3">
        <f>IF(COUNTIF(C:C,M3)&gt;1,_xlfn.MAXIFS(D:D,C:C,M3),"")</f>
        <v>-9</v>
      </c>
      <c r="O3" s="2">
        <f>IF(COUNTIF(C:C,M3)&gt;1,_xlfn.MINIFS(E:E,C:C,M3),"")</f>
        <v>0</v>
      </c>
      <c r="P3" s="25" t="str">
        <f>IFERROR(IF(N3&lt;&gt;"",COUNTIF(D:D,N3) &amp; " (" &amp;_xlfn.TEXTJOIN("/",TRUE,T4:T9)&amp; ")",""),"")</f>
        <v>1 (JP)</v>
      </c>
      <c r="Q3" s="26" t="str">
        <f>IFERROR(IF(O3&lt;&gt;"",COUNTIF(E:E,O3) &amp; " (" &amp;_xlfn.TEXTJOIN("/",TRUE,AE4:AE9)&amp; ")",""),"")</f>
        <v>1 (JP)</v>
      </c>
      <c r="S3">
        <v>1234</v>
      </c>
      <c r="T3">
        <f>N3</f>
        <v>-9</v>
      </c>
      <c r="U3" s="19" t="str">
        <f>N4</f>
        <v/>
      </c>
      <c r="V3" s="20">
        <f>N5</f>
        <v>17</v>
      </c>
      <c r="W3" s="20">
        <f>N6</f>
        <v>22</v>
      </c>
      <c r="X3" s="20">
        <f>N7</f>
        <v>27.5</v>
      </c>
      <c r="Y3" s="20">
        <f>N8</f>
        <v>34</v>
      </c>
      <c r="Z3" s="20">
        <f>N9</f>
        <v>41</v>
      </c>
      <c r="AA3" s="20">
        <f>N10</f>
        <v>48.5</v>
      </c>
      <c r="AB3" s="20">
        <f>N11</f>
        <v>55.5</v>
      </c>
      <c r="AC3" s="20">
        <f>N12</f>
        <v>63.5</v>
      </c>
      <c r="AD3" s="21">
        <f>N13</f>
        <v>70</v>
      </c>
      <c r="AE3">
        <f>IF(O3&lt;&gt;"",O3,"")</f>
        <v>0</v>
      </c>
      <c r="AF3" s="19" t="str">
        <f>IF(O4&lt;&gt;"",O4,"")</f>
        <v/>
      </c>
      <c r="AG3" s="20">
        <f>O5</f>
        <v>18.5</v>
      </c>
      <c r="AH3" s="20">
        <f>O6</f>
        <v>23.5</v>
      </c>
      <c r="AI3" s="20">
        <f>O7</f>
        <v>29.5</v>
      </c>
      <c r="AJ3" s="20">
        <f>O8</f>
        <v>36</v>
      </c>
      <c r="AK3" s="20">
        <f>O9</f>
        <v>43</v>
      </c>
      <c r="AL3" s="20">
        <f>O10</f>
        <v>50</v>
      </c>
      <c r="AM3" s="20">
        <f>O11</f>
        <v>58</v>
      </c>
      <c r="AN3" s="20">
        <f>O12</f>
        <v>66</v>
      </c>
      <c r="AO3" s="20">
        <f>O13</f>
        <v>74.5</v>
      </c>
      <c r="AP3" s="20">
        <f>O14</f>
        <v>83</v>
      </c>
      <c r="AQ3" s="6" t="str">
        <f>IF(P4&lt;&gt;"",M4&amp;" ("&amp;LEFT(P4,1) &amp;") "&amp;N4&amp;"/"&amp; O4 &amp;" ("&amp; LEFT(Q4,1) &amp;")","")</f>
        <v/>
      </c>
    </row>
    <row r="4" spans="1:43" x14ac:dyDescent="0.25">
      <c r="A4" t="s">
        <v>16</v>
      </c>
      <c r="C4" t="str">
        <f t="shared" si="2"/>
        <v/>
      </c>
      <c r="D4" t="str">
        <f t="shared" si="3"/>
        <v/>
      </c>
      <c r="E4" t="str">
        <f t="shared" si="4"/>
        <v/>
      </c>
      <c r="F4" t="str">
        <f t="shared" si="5"/>
        <v/>
      </c>
      <c r="H4" t="str">
        <f t="shared" si="6"/>
        <v/>
      </c>
      <c r="I4" t="str">
        <f t="shared" si="0"/>
        <v/>
      </c>
      <c r="K4" t="str">
        <f t="shared" si="1"/>
        <v xml:space="preserve"> </v>
      </c>
      <c r="M4" s="62" t="s">
        <v>45</v>
      </c>
      <c r="N4" t="str">
        <f>IF(COUNTIF(C:C,M4)&gt;2,_xlfn.MAXIFS(D:D,C:C,M4),"")</f>
        <v/>
      </c>
      <c r="O4" s="2" t="str">
        <f>IF(COUNTIF(C:C,M4)&gt;2,_xlfn.MINIFS(E:E,C:C,M4),"")</f>
        <v/>
      </c>
      <c r="P4" s="25" t="str">
        <f>IFERROR(IF(N4&lt;&gt;"",COUNTIF(D:D,N4) &amp; " (" &amp;_xlfn.TEXTJOIN("/",TRUE,U4:U10)&amp; ")",""),"")</f>
        <v/>
      </c>
      <c r="Q4" s="26" t="str">
        <f>IFERROR(IF(O4&lt;&gt;"",COUNTIF(E:E,O4) &amp; " (" &amp;_xlfn.TEXTJOIN("/",TRUE,AF4:AF10)&amp; ")",""),"")</f>
        <v/>
      </c>
      <c r="R4" t="str">
        <f>IFERROR(IF(N4=O4,"YOURS " &amp;RIGHT(P4,LEN(P4)-FIND("(",P4)+1)&amp;" / MINE " &amp;RIGHT(Q4,LEN(Q4)-FIND("(",Q4)+1),"")&amp;IF(O4-N4&lt;0.6,"VERY TIGHT",""),"")</f>
        <v/>
      </c>
      <c r="T4" s="1" t="str" cm="1">
        <f t="array" ref="T4">IF(N3&lt;&gt;"",_xlfn._xlws.FILTER($A:$A,EXACT(T$3,$D:$D)),"")</f>
        <v>JP</v>
      </c>
      <c r="U4" s="1" t="str" cm="1">
        <f t="array" ref="U4">IF(U3&lt;&gt;"",_xlfn._xlws.FILTER($A:$A,EXACT(U$3,$D:$D)),"")</f>
        <v/>
      </c>
      <c r="V4" s="1" t="str" cm="1">
        <f t="array" ref="V4">_xlfn._xlws.FILTER($A:$A,EXACT(V$3,$D:$D))</f>
        <v>JP</v>
      </c>
      <c r="W4" s="1" t="str" cm="1">
        <f t="array" ref="W4">_xlfn._xlws.FILTER($A:$A,EXACT(W$3,$D:$D))</f>
        <v>JP</v>
      </c>
      <c r="X4" s="1" t="str" cm="1">
        <f t="array" ref="X4:X6">_xlfn._xlws.FILTER($A:$A,EXACT(X$3,$D:$D))</f>
        <v>BNP</v>
      </c>
      <c r="Y4" s="1" t="str" cm="1">
        <f t="array" ref="Y4:Y6">_xlfn._xlws.FILTER($A:$A,EXACT(Y$3,$D:$D))</f>
        <v>BNP</v>
      </c>
      <c r="Z4" s="1" t="str" cm="1">
        <f t="array" ref="Z4:Z5">_xlfn._xlws.FILTER($A:$A,EXACT(Z$3,$D:$D))</f>
        <v>JP</v>
      </c>
      <c r="AA4" s="1" t="str" cm="1">
        <f t="array" ref="AA4">_xlfn._xlws.FILTER($A:$A,EXACT(AA$3,$D:$D))</f>
        <v>BNP</v>
      </c>
      <c r="AB4" s="1" t="str" cm="1">
        <f t="array" ref="AB4">_xlfn._xlws.FILTER($A:$A,EXACT(AB$3,$D:$D))</f>
        <v>BNP</v>
      </c>
      <c r="AC4" s="1" t="str" cm="1">
        <f t="array" ref="AC4">_xlfn._xlws.FILTER($A:$A,EXACT(AC$3,$D:$D))</f>
        <v>BNP</v>
      </c>
      <c r="AD4" s="6" t="str" cm="1">
        <f t="array" ref="AD4:AD5">_xlfn._xlws.FILTER($A:$A,EXACT(AD$3,$D:$D))</f>
        <v>BNP</v>
      </c>
      <c r="AE4" s="1" t="str" cm="1">
        <f t="array" ref="AE4">IF(AE3&lt;&gt;"",_xlfn._xlws.FILTER($A:$A,EXACT(AE$3,$E:$E)),"")</f>
        <v>JP</v>
      </c>
      <c r="AF4" s="1" t="str" cm="1">
        <f t="array" ref="AF4">IF(AF3&lt;&gt;"",_xlfn._xlws.FILTER($A:$A,EXACT(AF$3,$E:$E)),"")</f>
        <v/>
      </c>
      <c r="AG4" s="1" t="str" cm="1">
        <f t="array" ref="AG4:AG5">_xlfn._xlws.FILTER($A:$A,EXACT(AG$3,$E:$E))</f>
        <v>BNP</v>
      </c>
      <c r="AH4" s="1" t="str" cm="1">
        <f t="array" ref="AH4:AH5">_xlfn._xlws.FILTER($A:$A,EXACT(AH$3,$E:$E))</f>
        <v>BNP</v>
      </c>
      <c r="AI4" s="1" t="str" cm="1">
        <f t="array" ref="AI4:AI6">_xlfn._xlws.FILTER($A:$A,EXACT(AI$3,$E:$E))</f>
        <v>BNP</v>
      </c>
      <c r="AJ4" s="1" t="str" cm="1">
        <f t="array" ref="AJ4:AJ6">_xlfn._xlws.FILTER($A:$A,EXACT(AJ$3,$E:$E))</f>
        <v>BNP</v>
      </c>
      <c r="AK4" s="1" t="str" cm="1">
        <f t="array" ref="AK4:AK5">_xlfn._xlws.FILTER($A:$A,EXACT(AK$3,$E:$E))</f>
        <v>JP</v>
      </c>
      <c r="AL4" s="1" t="str" cm="1">
        <f t="array" ref="AL4">_xlfn._xlws.FILTER($A:$A,EXACT(AL$3,$E:$E))</f>
        <v>Barc</v>
      </c>
      <c r="AM4" s="1" t="str" cm="1">
        <f t="array" ref="AM4">_xlfn._xlws.FILTER($A:$A,EXACT(AM$3,$E:$E))</f>
        <v>Barc</v>
      </c>
      <c r="AN4" s="1" t="str" cm="1">
        <f t="array" ref="AN4">_xlfn._xlws.FILTER($A:$A,EXACT(AN$3,$E:$E))</f>
        <v>Barc</v>
      </c>
      <c r="AO4" s="1" t="str" cm="1">
        <f t="array" ref="AO4">_xlfn._xlws.FILTER($A:$A,EXACT(AO$3,$E:$E))</f>
        <v>Barc</v>
      </c>
      <c r="AP4" s="1"/>
      <c r="AQ4" s="6" t="str">
        <f>IFERROR(M5&amp;" ("&amp;LEFT(P5,1) &amp;") "&amp;N5&amp;"/"&amp; O5 &amp;" ("&amp; LEFT(Q5,1) &amp;")","")</f>
        <v>Dec23 (1) 17/18.5 (2)</v>
      </c>
    </row>
    <row r="5" spans="1:43" x14ac:dyDescent="0.25">
      <c r="A5" t="s">
        <v>19</v>
      </c>
      <c r="C5" t="str">
        <f t="shared" si="2"/>
        <v/>
      </c>
      <c r="D5" t="str">
        <f t="shared" si="3"/>
        <v/>
      </c>
      <c r="E5" t="str">
        <f t="shared" si="4"/>
        <v/>
      </c>
      <c r="F5" t="str">
        <f t="shared" si="5"/>
        <v/>
      </c>
      <c r="H5" t="str">
        <f t="shared" si="6"/>
        <v/>
      </c>
      <c r="I5" t="str">
        <f>IF(B5="","",IF(H5="",B5,B5&amp;" -&gt; "&amp;H5))</f>
        <v/>
      </c>
      <c r="K5" t="str">
        <f t="shared" si="1"/>
        <v xml:space="preserve"> </v>
      </c>
      <c r="M5" s="19" t="s">
        <v>0</v>
      </c>
      <c r="N5">
        <f t="shared" ref="N5:N13" si="7">_xlfn.MAXIFS(D:D,C:C,M5)</f>
        <v>17</v>
      </c>
      <c r="O5" s="2">
        <f>_xlfn.MINIFS(E:E,C:C,M5)</f>
        <v>18.5</v>
      </c>
      <c r="P5" s="25" t="str">
        <f>COUNTIF(D:D,N5) &amp; " (" &amp;_xlfn.TEXTJOIN("/",TRUE,V4:V10)&amp; ")"</f>
        <v>1 (JP)</v>
      </c>
      <c r="Q5" s="26" t="str">
        <f>COUNTIF(E:E,O5)&amp; " (" &amp;_xlfn.TEXTJOIN("/",TRUE,AG4:AG10)&amp; ")"</f>
        <v>2 (BNP/JP)</v>
      </c>
      <c r="R5" t="str">
        <f>IFERROR(IF(N5=O5,"YOURS " &amp;RIGHT(P5,LEN(P5)-FIND("(",P5)+1)&amp;" / MINE " &amp;RIGHT(Q5,LEN(Q5)-FIND("(",Q5)+1),"")&amp;IF(O5-N5&lt;0.6,"VERY TIGHT",""),"")</f>
        <v/>
      </c>
      <c r="U5" s="1"/>
      <c r="X5" t="str">
        <v>JP</v>
      </c>
      <c r="Y5" t="str">
        <v>JP</v>
      </c>
      <c r="Z5" t="str">
        <v>Barc</v>
      </c>
      <c r="AD5" s="2" t="str">
        <v>JP</v>
      </c>
      <c r="AF5" s="1"/>
      <c r="AG5" t="str">
        <v>JP</v>
      </c>
      <c r="AH5" t="str">
        <v>Barc</v>
      </c>
      <c r="AI5" t="str">
        <v>JP</v>
      </c>
      <c r="AJ5" t="str">
        <v>JP</v>
      </c>
      <c r="AK5" t="str">
        <v>Barc</v>
      </c>
      <c r="AQ5" s="6" t="str">
        <f t="shared" ref="AQ5:AQ12" si="8">IFERROR(M6&amp;" ("&amp;LEFT(P6,1) &amp;") "&amp;N6&amp;"/"&amp; O6 &amp;" ("&amp; LEFT(Q6,1) &amp;")","")</f>
        <v>Dec24 (1) 22/23.5 (2)</v>
      </c>
    </row>
    <row r="6" spans="1:43" x14ac:dyDescent="0.25">
      <c r="A6" t="s">
        <v>21</v>
      </c>
      <c r="C6" t="str">
        <f>IF(B6="","",SUBSTITUTE(LEFT(B6,FIND(" ",B6)-1),"-",""))</f>
        <v/>
      </c>
      <c r="D6" t="str">
        <f>IF(B6="","",IFERROR(IFERROR(VALUE(SUBSTITUTE(MID(B6,FIND(" ",B6),FIND("/",B6)-FIND(" ",B6))," ","")),IF(FIND("B",UPPER(B6)),VALUE(MID(B6,FIND(" ",B6),FIND("B",UPPER(B6))-FIND(" ",B6))),"")),""))</f>
        <v/>
      </c>
      <c r="E6" t="str">
        <f>IF(B6="","",IFERROR(IFERROR(VALUE(SUBSTITUTE(RIGHT(B6,LEN(B6)-FIND("/",B6))," ","")),IF(FIND("O",UPPER(B6)),VALUE(MID(B6,FIND(" ",B6),FIND("O",UPPER(B6))-FIND(" ",B6))),"")),""))</f>
        <v/>
      </c>
      <c r="F6" t="str">
        <f>IF(B6="","",IF(F5="",IF(F4="","",F4),F5))</f>
        <v/>
      </c>
      <c r="H6" t="str">
        <f t="shared" si="6"/>
        <v/>
      </c>
      <c r="I6" t="str">
        <f>IF(B6="","",IF(H6="",B6,B6&amp;" -&gt; "&amp;H6))</f>
        <v/>
      </c>
      <c r="K6" t="str">
        <f t="shared" si="1"/>
        <v xml:space="preserve"> </v>
      </c>
      <c r="M6" s="19" t="s">
        <v>1</v>
      </c>
      <c r="N6">
        <f t="shared" si="7"/>
        <v>22</v>
      </c>
      <c r="O6" s="2">
        <f t="shared" ref="O6:O13" si="9">_xlfn.MINIFS(E:E,C:C,M6)</f>
        <v>23.5</v>
      </c>
      <c r="P6" s="25" t="str">
        <f>COUNTIF(D:D,N6) &amp; " (" &amp;_xlfn.TEXTJOIN("/",TRUE,W4:W10)&amp; ")"</f>
        <v>1 (JP)</v>
      </c>
      <c r="Q6" s="26" t="str">
        <f>COUNTIF(E:E,O6)&amp; " (" &amp;_xlfn.TEXTJOIN("/",TRUE,AH4:AH10)&amp; ")"</f>
        <v>2 (BNP/Barc)</v>
      </c>
      <c r="R6" t="str">
        <f>IFERROR(IF(N6=O6,"YOURS " &amp;RIGHT(P6,LEN(P6)-FIND("(",P6)+1)&amp;" / MINE " &amp;RIGHT(Q6,LEN(Q6)-FIND("(",Q6)+1),"")&amp;IF(O6-N6&lt;0.6,"VERY TIGHT",""),"")</f>
        <v/>
      </c>
      <c r="U6" s="1"/>
      <c r="X6" t="str">
        <v>Barc</v>
      </c>
      <c r="Y6" t="str">
        <v>Barc</v>
      </c>
      <c r="AD6" s="2"/>
      <c r="AF6" s="1"/>
      <c r="AI6" t="str">
        <v>Barc</v>
      </c>
      <c r="AJ6" t="str">
        <v>Barc</v>
      </c>
      <c r="AQ6" s="6" t="str">
        <f t="shared" si="8"/>
        <v>Dec25 (3) 27.5/29.5 (3)</v>
      </c>
    </row>
    <row r="7" spans="1:43" x14ac:dyDescent="0.25">
      <c r="A7" t="s">
        <v>21</v>
      </c>
      <c r="C7" t="str">
        <f>IF(B7="","",SUBSTITUTE(LEFT(B7,FIND(" ",B7)-1),"-",""))</f>
        <v/>
      </c>
      <c r="D7" t="str">
        <f>IF(B7="","",IFERROR(IFERROR(VALUE(SUBSTITUTE(MID(B7,FIND(" ",B7),FIND("/",B7)-FIND(" ",B7))," ","")),IF(FIND("B",UPPER(B7)),VALUE(MID(B7,FIND(" ",B7),FIND("B",UPPER(B7))-FIND(" ",B7))),"")),""))</f>
        <v/>
      </c>
      <c r="E7" t="str">
        <f>IF(B7="","",IFERROR(IFERROR(VALUE(SUBSTITUTE(RIGHT(B7,LEN(B7)-FIND("/",B7))," ","")),IF(FIND("O",UPPER(B7)),VALUE(MID(B7,FIND(" ",B7),FIND("O",UPPER(B7))-FIND(" ",B7))),"")),""))</f>
        <v/>
      </c>
      <c r="F7" t="str">
        <f>IF(B7="","",IF(F6="",IF(F5="","",F5),F6))</f>
        <v/>
      </c>
      <c r="H7" t="str">
        <f t="shared" si="6"/>
        <v/>
      </c>
      <c r="I7" t="str">
        <f>IF(B7="","",IF(H7="",B7,B7&amp;" -&gt; "&amp;H7))</f>
        <v/>
      </c>
      <c r="K7" t="str">
        <f t="shared" si="1"/>
        <v xml:space="preserve"> </v>
      </c>
      <c r="M7" s="19" t="s">
        <v>2</v>
      </c>
      <c r="N7">
        <f t="shared" si="7"/>
        <v>27.5</v>
      </c>
      <c r="O7" s="2">
        <f t="shared" si="9"/>
        <v>29.5</v>
      </c>
      <c r="P7" s="25" t="str">
        <f>COUNTIF(D:D,N7) &amp; " (" &amp;_xlfn.TEXTJOIN("/",TRUE,X4:X1048576)&amp; ")"</f>
        <v>3 (BNP/JP/Barc)</v>
      </c>
      <c r="Q7" s="26" t="str">
        <f>COUNTIF(E:E,O7)&amp; " (" &amp;_xlfn.TEXTJOIN("/",TRUE,AI4:AI1048576)&amp; ")"</f>
        <v>3 (BNP/JP/Barc)</v>
      </c>
      <c r="R7" t="str">
        <f t="shared" ref="R7:R12" si="10">IFERROR(IF(N7=O7,"YOURS " &amp;RIGHT(P7,LEN(P7)-FIND("(",P7)+1)&amp;" / MINE " &amp;RIGHT(Q7,LEN(Q7)-FIND("(",Q7)+1),"")&amp;IF(O7-N7&lt;0.6,"VERY TIGHT",""),"")</f>
        <v/>
      </c>
      <c r="U7" s="1"/>
      <c r="W7" s="9"/>
      <c r="X7" s="9"/>
      <c r="Y7" s="10"/>
      <c r="Z7" s="10"/>
      <c r="AA7" s="10"/>
      <c r="AB7" s="10"/>
      <c r="AC7" s="10"/>
      <c r="AD7" s="15"/>
      <c r="AF7" s="1"/>
      <c r="AH7" s="9"/>
      <c r="AI7" s="9"/>
      <c r="AJ7" s="10"/>
      <c r="AQ7" s="6" t="str">
        <f t="shared" si="8"/>
        <v>Dec26 (3) 34/36 (3)</v>
      </c>
    </row>
    <row r="8" spans="1:43" x14ac:dyDescent="0.25">
      <c r="A8" t="s">
        <v>48</v>
      </c>
      <c r="C8" t="str">
        <f t="shared" ref="C8:C28" si="11">IF(B8="","",SUBSTITUTE(LEFT(B8,FIND(" ",B8)-1),"-",""))</f>
        <v/>
      </c>
      <c r="D8" t="str">
        <f t="shared" ref="D8:D28" si="12">IF(B8="","",IFERROR(IFERROR(VALUE(SUBSTITUTE(MID(B8,FIND(" ",B8),FIND("/",B8)-FIND(" ",B8))," ","")),IF(FIND("B",UPPER(B8)),VALUE(MID(B8,FIND(" ",B8),FIND("B",UPPER(B8))-FIND(" ",B8))),"")),""))</f>
        <v/>
      </c>
      <c r="E8" t="str">
        <f t="shared" ref="E8:E28" si="13">IF(B8="","",IFERROR(IFERROR(VALUE(SUBSTITUTE(RIGHT(B8,LEN(B8)-FIND("/",B8))," ","")),IF(FIND("O",UPPER(B8)),VALUE(MID(B8,FIND(" ",B8),FIND("O",UPPER(B8))-FIND(" ",B8))),"")),""))</f>
        <v/>
      </c>
      <c r="F8" t="str">
        <f t="shared" ref="F8:F13" si="14">IF(B8="","",IF(F7="",IF(F6="","",F6),F7))</f>
        <v/>
      </c>
      <c r="H8" t="str">
        <f t="shared" si="6"/>
        <v/>
      </c>
      <c r="I8" t="str">
        <f>IF(B8="","",IF(H8="",B8,B8&amp;" -&gt; "&amp;H8))</f>
        <v/>
      </c>
      <c r="K8" t="str">
        <f>IF(AND(D8=$N$4,COUNTIF(D:D,$N$4)=1),"Best bid solo","") &amp; " " &amp; IF(AND(E8=$O$4,COUNTIF(E:E,$O$4)=1),"Best offer solo","")</f>
        <v xml:space="preserve"> </v>
      </c>
      <c r="M8" s="19" t="s">
        <v>3</v>
      </c>
      <c r="N8">
        <f t="shared" si="7"/>
        <v>34</v>
      </c>
      <c r="O8" s="2">
        <f t="shared" si="9"/>
        <v>36</v>
      </c>
      <c r="P8" s="25" t="str">
        <f>COUNTIF(D:D,N8) &amp; " (" &amp;_xlfn.TEXTJOIN("/",TRUE,Y4:Y10)&amp; ")"</f>
        <v>3 (BNP/JP/Barc)</v>
      </c>
      <c r="Q8" s="26" t="str">
        <f>COUNTIF(E:E,O8)&amp; " (" &amp;_xlfn.TEXTJOIN("/",TRUE,AJ4:AJ1048576)&amp; ")"</f>
        <v>3 (BNP/JP/Barc)</v>
      </c>
      <c r="R8" t="str">
        <f t="shared" si="10"/>
        <v/>
      </c>
      <c r="U8" s="1"/>
      <c r="W8" s="9"/>
      <c r="X8" s="9"/>
      <c r="Y8" s="10"/>
      <c r="AD8" s="2"/>
      <c r="AF8" s="1"/>
      <c r="AH8" s="9"/>
      <c r="AI8" s="9"/>
      <c r="AQ8" s="6" t="str">
        <f t="shared" si="8"/>
        <v>Dec27 (2) 41/43 (2)</v>
      </c>
    </row>
    <row r="9" spans="1:43" x14ac:dyDescent="0.25">
      <c r="A9" t="s">
        <v>23</v>
      </c>
      <c r="B9" s="36"/>
      <c r="C9" t="str">
        <f t="shared" si="11"/>
        <v/>
      </c>
      <c r="D9" t="str">
        <f t="shared" si="12"/>
        <v/>
      </c>
      <c r="E9" t="str">
        <f t="shared" si="13"/>
        <v/>
      </c>
      <c r="F9" t="str">
        <f t="shared" si="14"/>
        <v/>
      </c>
      <c r="H9" t="str">
        <f t="shared" si="6"/>
        <v/>
      </c>
      <c r="I9" t="str">
        <f>IF(B9="","",IF(H9="",B9,B9&amp;" -&gt; "&amp;H9))</f>
        <v/>
      </c>
      <c r="K9" t="str">
        <f t="shared" si="1"/>
        <v xml:space="preserve"> </v>
      </c>
      <c r="M9" s="19" t="s">
        <v>4</v>
      </c>
      <c r="N9">
        <f t="shared" si="7"/>
        <v>41</v>
      </c>
      <c r="O9" s="2">
        <f t="shared" si="9"/>
        <v>43</v>
      </c>
      <c r="P9" s="25" t="str">
        <f>COUNTIF(D:D,N9) &amp; " (" &amp;_xlfn.TEXTJOIN("/",TRUE,Z4:Z1048576)&amp; ")"</f>
        <v>2 (JP/Barc)</v>
      </c>
      <c r="Q9" s="26" t="str">
        <f>COUNTIF(E:E,O9)&amp; " (" &amp;_xlfn.TEXTJOIN("/",TRUE,AK4:AK1048576)&amp; ")"</f>
        <v>2 (JP/Barc)</v>
      </c>
      <c r="R9" t="str">
        <f t="shared" si="10"/>
        <v/>
      </c>
      <c r="U9" s="3"/>
      <c r="V9" s="4"/>
      <c r="W9" s="16"/>
      <c r="X9" s="16"/>
      <c r="Y9" s="17"/>
      <c r="Z9" s="4"/>
      <c r="AA9" s="4"/>
      <c r="AB9" s="4"/>
      <c r="AC9" s="4"/>
      <c r="AD9" s="5"/>
      <c r="AF9" s="3"/>
      <c r="AG9" s="4"/>
      <c r="AH9" s="16"/>
      <c r="AI9" s="16"/>
      <c r="AJ9" s="4"/>
      <c r="AK9" s="4"/>
      <c r="AL9" s="4"/>
      <c r="AM9" s="4"/>
      <c r="AN9" s="4"/>
      <c r="AO9" s="4"/>
      <c r="AP9" s="144"/>
      <c r="AQ9" s="6" t="str">
        <f t="shared" si="8"/>
        <v>Dec28 (1) 48.5/50 (1)</v>
      </c>
    </row>
    <row r="10" spans="1:43" x14ac:dyDescent="0.25">
      <c r="A10" t="s">
        <v>38</v>
      </c>
      <c r="C10" t="str">
        <f t="shared" si="11"/>
        <v/>
      </c>
      <c r="D10" t="str">
        <f t="shared" si="12"/>
        <v/>
      </c>
      <c r="E10" t="str">
        <f t="shared" si="13"/>
        <v/>
      </c>
      <c r="F10" t="str">
        <f t="shared" si="14"/>
        <v/>
      </c>
      <c r="H10" t="str">
        <f t="shared" si="6"/>
        <v/>
      </c>
      <c r="I10" t="str">
        <f t="shared" ref="I10:I13" si="15">IF(B10="","",IF(H10="",B10,B10&amp;" -&gt; "&amp;H10))</f>
        <v/>
      </c>
      <c r="K10" t="str">
        <f t="shared" si="1"/>
        <v xml:space="preserve"> </v>
      </c>
      <c r="M10" s="19" t="s">
        <v>5</v>
      </c>
      <c r="N10">
        <f t="shared" si="7"/>
        <v>48.5</v>
      </c>
      <c r="O10" s="2">
        <f t="shared" si="9"/>
        <v>50</v>
      </c>
      <c r="P10" s="25" t="str">
        <f>COUNTIF(D:D,N10)&amp; " (" &amp;_xlfn.TEXTJOIN("/",TRUE,AA4:AA1048576)&amp; ")"</f>
        <v>1 (BNP)</v>
      </c>
      <c r="Q10" s="26" t="str">
        <f>COUNTIF(E:E,O10)&amp; " (" &amp;_xlfn.TEXTJOIN("/",TRUE,AL4:AL1048576)&amp; ")"</f>
        <v>1 (Barc)</v>
      </c>
      <c r="R10" t="str">
        <f t="shared" si="10"/>
        <v/>
      </c>
      <c r="AQ10" s="6" t="str">
        <f t="shared" si="8"/>
        <v>Dec29 (1) 55.5/58 (1)</v>
      </c>
    </row>
    <row r="11" spans="1:43" x14ac:dyDescent="0.25">
      <c r="A11" t="s">
        <v>22</v>
      </c>
      <c r="C11" t="str">
        <f t="shared" si="11"/>
        <v/>
      </c>
      <c r="D11" t="str">
        <f t="shared" si="12"/>
        <v/>
      </c>
      <c r="E11" t="str">
        <f t="shared" si="13"/>
        <v/>
      </c>
      <c r="F11" t="str">
        <f t="shared" si="14"/>
        <v/>
      </c>
      <c r="H11" t="str">
        <f t="shared" si="6"/>
        <v/>
      </c>
      <c r="I11" t="str">
        <f t="shared" si="15"/>
        <v/>
      </c>
      <c r="K11" t="str">
        <f t="shared" si="1"/>
        <v xml:space="preserve"> </v>
      </c>
      <c r="M11" s="19" t="s">
        <v>6</v>
      </c>
      <c r="N11">
        <f t="shared" si="7"/>
        <v>55.5</v>
      </c>
      <c r="O11" s="2">
        <f t="shared" si="9"/>
        <v>58</v>
      </c>
      <c r="P11" s="25" t="str">
        <f>COUNTIF(D:D,N11)&amp; " (" &amp;_xlfn.TEXTJOIN("/",TRUE,AB4:AB1048576)&amp; ")"</f>
        <v>1 (BNP)</v>
      </c>
      <c r="Q11" s="26" t="str">
        <f>COUNTIF(E:E,O11)&amp; " (" &amp;_xlfn.TEXTJOIN("/",TRUE,AM4:AM1048576)&amp; ")"</f>
        <v>1 (Barc)</v>
      </c>
      <c r="R11" t="str">
        <f t="shared" si="10"/>
        <v/>
      </c>
      <c r="AQ11" s="6" t="str">
        <f t="shared" si="8"/>
        <v>Dec30 (1) 63.5/66 (1)</v>
      </c>
    </row>
    <row r="12" spans="1:43" x14ac:dyDescent="0.25">
      <c r="C12" t="str">
        <f t="shared" si="11"/>
        <v/>
      </c>
      <c r="D12" t="str">
        <f t="shared" si="12"/>
        <v/>
      </c>
      <c r="E12" t="str">
        <f t="shared" si="13"/>
        <v/>
      </c>
      <c r="F12" t="str">
        <f t="shared" si="14"/>
        <v/>
      </c>
      <c r="H12" t="str">
        <f t="shared" si="6"/>
        <v/>
      </c>
      <c r="I12" t="str">
        <f t="shared" si="15"/>
        <v/>
      </c>
      <c r="K12" t="str">
        <f t="shared" si="1"/>
        <v xml:space="preserve"> </v>
      </c>
      <c r="M12" s="19" t="s">
        <v>7</v>
      </c>
      <c r="N12">
        <f t="shared" si="7"/>
        <v>63.5</v>
      </c>
      <c r="O12" s="2">
        <f t="shared" si="9"/>
        <v>66</v>
      </c>
      <c r="P12" s="25" t="str">
        <f>COUNTIF(D:D,N12) &amp; " (" &amp;_xlfn.TEXTJOIN("/",TRUE,AC4:AC1048576)&amp; ")"</f>
        <v>1 (BNP)</v>
      </c>
      <c r="Q12" s="26" t="str">
        <f>COUNTIF(E:E,O12)&amp; " (" &amp;_xlfn.TEXTJOIN("/",TRUE,AN4:AN1048576)&amp; ")"</f>
        <v>1 (Barc)</v>
      </c>
      <c r="R12" t="str">
        <f t="shared" si="10"/>
        <v/>
      </c>
      <c r="AQ12" s="7" t="str">
        <f t="shared" si="8"/>
        <v>Dec31 (2) 70/74.5 (1)</v>
      </c>
    </row>
    <row r="13" spans="1:43" x14ac:dyDescent="0.25">
      <c r="A13" t="s">
        <v>17</v>
      </c>
      <c r="C13" t="str">
        <f t="shared" si="11"/>
        <v/>
      </c>
      <c r="D13" t="str">
        <f t="shared" si="12"/>
        <v/>
      </c>
      <c r="E13" t="str">
        <f t="shared" si="13"/>
        <v/>
      </c>
      <c r="F13" t="str">
        <f t="shared" si="14"/>
        <v/>
      </c>
      <c r="H13" t="str">
        <f t="shared" si="6"/>
        <v/>
      </c>
      <c r="I13" t="str">
        <f t="shared" si="15"/>
        <v/>
      </c>
      <c r="K13" t="str">
        <f t="shared" si="1"/>
        <v xml:space="preserve"> </v>
      </c>
      <c r="M13" s="31" t="s">
        <v>8</v>
      </c>
      <c r="N13" s="4">
        <f t="shared" si="7"/>
        <v>70</v>
      </c>
      <c r="O13" s="5">
        <f t="shared" si="9"/>
        <v>74.5</v>
      </c>
      <c r="P13" s="27" t="str">
        <f>COUNTIF(D:D,N13) &amp; " (" &amp;_xlfn.TEXTJOIN("/",TRUE,AD4:AD1048576)&amp; ")"</f>
        <v>2 (BNP/JP)</v>
      </c>
      <c r="Q13" s="28" t="str">
        <f>COUNTIF(E:E,O13)&amp; " (" &amp;_xlfn.TEXTJOIN("/",TRUE,AO4:AO1048576)&amp; ")"</f>
        <v>1 (Barc)</v>
      </c>
    </row>
    <row r="14" spans="1:43" ht="15.75" thickBot="1" x14ac:dyDescent="0.3">
      <c r="C14" s="36"/>
      <c r="H14" t="str">
        <f>IFERROR(IF(B14="","",IF(D14=INDEX(N:N,MATCH(C14,M:M,0)),"you are best bid "&amp;IF(INDEX(P:P,MATCH(C14,M:M,0))-1=0,"","("&amp;INDEX(P:P,MATCH(C14,M:M,0))-1&amp;" with you)"),INDEX(N:N,MATCH(C14,M:M,0))&amp; " bid")&amp;" / "&amp;IF(E14=INDEX(O:O,MATCH(C14,M:M,0)),"you are best offer "&amp;IF(INDEX(Q:Q,MATCH(C14,M:M,0))-1=0,"","("&amp;INDEX(Q:Q,MATCH(C14,M:M,0))-1&amp;" with you)"),INDEX(O:O,MATCH(C14,M:M,0))&amp;" offer")),"")</f>
        <v/>
      </c>
      <c r="I14" t="str">
        <f>IFERROR(IF(H14="","",C14&amp;" "&amp;INDEX(N:N,MATCH(C14,M:M,0))&amp;" / "&amp;INDEX(O:O,MATCH(C14,M:M,0))&amp;" : "&amp;H14),B14)</f>
        <v/>
      </c>
      <c r="M14" s="143" t="s">
        <v>134</v>
      </c>
      <c r="N14" s="4">
        <f t="shared" ref="N14" si="16">_xlfn.MAXIFS(D:D,C:C,M14)</f>
        <v>76</v>
      </c>
      <c r="O14" s="5">
        <f t="shared" ref="O14" si="17">_xlfn.MINIFS(E:E,C:C,M14)</f>
        <v>83</v>
      </c>
      <c r="P14" s="27" t="e">
        <f>COUNTIF(D:D,N14) &amp; " (" &amp;_xlfn.TEXTJOIN("/",TRUE,#REF!)&amp; ")"</f>
        <v>#REF!</v>
      </c>
      <c r="Q14" s="28" t="e">
        <f>COUNTIF(E:E,O14)&amp; " (" &amp;_xlfn.TEXTJOIN("/",TRUE,#REF!)&amp; ")"</f>
        <v>#REF!</v>
      </c>
    </row>
    <row r="15" spans="1:43" ht="15.75" thickBot="1" x14ac:dyDescent="0.3">
      <c r="C15" s="37" t="str">
        <f t="shared" si="11"/>
        <v/>
      </c>
      <c r="D15" s="37"/>
      <c r="E15" s="37"/>
      <c r="F15" s="37"/>
      <c r="G15" s="37"/>
      <c r="H15" s="38"/>
      <c r="I15" s="39" t="str">
        <f>IF(A16="BNP","Ton feedback Hugo",IF(A16="JP","Ton feedback Tomasz",IF(A16="Barc","Your feedback Nathaniel",IF(A16="GS","Your feedback Ken-Ji",""))))</f>
        <v>Ton feedback Hugo</v>
      </c>
      <c r="J15" s="8" t="str">
        <f>I15</f>
        <v>Ton feedback Hugo</v>
      </c>
      <c r="R15" s="107" t="str">
        <f>"Previous "&amp;A16&amp;" Run"</f>
        <v>Previous BNP Run</v>
      </c>
      <c r="S15" s="108" t="s">
        <v>36</v>
      </c>
    </row>
    <row r="16" spans="1:43" ht="15.75" thickBot="1" x14ac:dyDescent="0.3">
      <c r="A16" s="32" t="s">
        <v>16</v>
      </c>
      <c r="B16" s="128" t="s">
        <v>158</v>
      </c>
      <c r="C16" s="40" t="str">
        <f t="shared" si="11"/>
        <v>SX5E</v>
      </c>
      <c r="D16" s="40" t="str">
        <f t="shared" ref="D16:D26" si="18">IF(B16="","",IFERROR(IFERROR(VALUE(SUBSTITUTE(MID(B16,FIND(" ",B16),FIND("/",B16)-FIND(" ",B16))," ","")),IF(FIND("B",UPPER(B16)),VALUE(MID(B16,FIND(" ",B16),FIND("B",UPPER(B16))-FIND(" ",B16))),"")),""))</f>
        <v/>
      </c>
      <c r="E16" s="40" t="str">
        <f t="shared" ref="E16:E26" si="19">IF(B16="","",IFERROR(IFERROR(VALUE(SUBSTITUTE(RIGHT(B16,LEN(B16)-FIND("/",B16))," ","")),IF(FIND("O",UPPER(B16)),VALUE(MID(B16,FIND(" ",B16),FIND("O",UPPER(B16))-FIND(" ",B16))),"")),""))</f>
        <v/>
      </c>
      <c r="F16" s="41">
        <f>IF(B16="","",VALUE(SUBSTITUTE(SUBSTITUTE(SUBSTITUTE(SUBSTITUTE(SUBSTITUTE(RIGHT(B16,LEN(B16)-FIND("vs",B16)+1),"basis",""),"vs.","")," ",""),":",""),"vs","")))</f>
        <v>6</v>
      </c>
      <c r="G16" s="42" t="s">
        <v>13</v>
      </c>
      <c r="H16" s="43" t="s">
        <v>14</v>
      </c>
      <c r="I16" s="6" t="str">
        <f>B16</f>
        <v xml:space="preserve">SX5E TRF run vs +6 </v>
      </c>
      <c r="J16" s="6" t="str">
        <f>B16</f>
        <v xml:space="preserve">SX5E TRF run vs +6 </v>
      </c>
      <c r="M16" s="24" t="str">
        <f>"Tightest SX5E TRF vs " &amp;IF(IF(IF(IF(F33="",F16,F33)="",F50,IF(F33="",F16,F33))="",F67,IF(IF(F33="",F16,F33)="",F50,IF(F33="",F16,F33)))="",F84,IF(IF(IF(F33="",F16,F33)="",F50,IF(F33="",F16,F33))="",F67,IF(IF(F33="",F16,F33)="",F50,IF(F33="",F16,F33))))</f>
        <v>Tightest SX5E TRF vs 6</v>
      </c>
      <c r="R16" s="109"/>
      <c r="S16" s="110"/>
      <c r="U16" s="44" t="str">
        <f>IF(R16="","",SUBSTITUTE(LEFT(R16,FIND(" ",R16)-1),"-",""))</f>
        <v/>
      </c>
      <c r="V16" s="12" t="str">
        <f>IF(R16="","",IFERROR(IFERROR(VALUE(SUBSTITUTE(MID(R16,FIND(" ",R16),FIND("/",R16)-FIND(" ",R16))," ","")),IF(FIND("B",UPPER(R16)),VALUE(MID(R16,FIND(" ",R16),FIND("B",UPPER(R16))-FIND(" ",R16))),"")),""))</f>
        <v/>
      </c>
      <c r="W16" s="14" t="str">
        <f>IF(R16="","",IFERROR(IFERROR(VALUE(SUBSTITUTE(RIGHT(R16,LEN(R16)-FIND("/",R16))," ","")),IF(FIND("O",UPPER(R16)),VALUE(MID(R16,FIND(" ",R16),FIND("O",UPPER(R16))-FIND(" ",R16))),"")),""))</f>
        <v/>
      </c>
    </row>
    <row r="17" spans="1:43" x14ac:dyDescent="0.25">
      <c r="A17" t="str">
        <f>IF(B17="","",IF(A16="",IF(A15="","",A15),A16))</f>
        <v/>
      </c>
      <c r="B17" s="34"/>
      <c r="C17" s="36" t="str">
        <f>IF(B17="","",SUBSTITUTE(LEFT(B17,FIND(" ",B17)-1),"-",""))</f>
        <v/>
      </c>
      <c r="D17" t="str">
        <f>IF(B17="","",IFERROR(IFERROR(VALUE(SUBSTITUTE(MID(B17,FIND(" ",B17),FIND("/",B17)-FIND(" ",B17))," ","")),IF(FIND("B",UPPER(B17)),VALUE(MID(B17,FIND(" ",B17),FIND("B",UPPER(B17))-FIND(" ",B17))),"")),""))</f>
        <v/>
      </c>
      <c r="E17" t="str">
        <f>IF(B17="","",IFERROR(IFERROR(VALUE(SUBSTITUTE(RIGHT(B17,LEN(B17)-FIND("/",B17))," ","")),IF(FIND("O",UPPER(B17)),VALUE(MID(B17,FIND(" ",B17),FIND("O",UPPER(B17))-FIND(" ",B17))),"")),""))</f>
        <v/>
      </c>
      <c r="F17" s="2" t="str">
        <f>IF(B17="","",IF(F16="",IF(F15="","",F15),F16))</f>
        <v/>
      </c>
      <c r="G17" s="6" t="str">
        <f t="shared" ref="G17:G27" si="20">IFERROR(IF(B17="","",IF(D17=INDEX(N:N,MATCH(C17,M:M,0)),"best bid "&amp;IF(LEFT(INDEX(P:P,MATCH(C17,M:M,0)),1)-1=0,"","("&amp;LEFT(INDEX(P:P,MATCH(C17,M:M,0)),1)-1&amp;" with you)"),INDEX(N:N,MATCH(C17,M:M,0))&amp; " bid")&amp;" / "&amp;IF(E17=INDEX(O:O,MATCH(C17,M:M,0)),"best offer "&amp;IF(LEFT(INDEX(Q:Q,MATCH(C17,M:M,0)),1)-1=0,"","("&amp;LEFT(INDEX(Q:Q,MATCH(C17,M:M,0)),1)-1&amp;" with you)"),INDEX(O:O,MATCH(C17,M:M,0))&amp;" offer")),"")</f>
        <v/>
      </c>
      <c r="H17" s="44" t="str">
        <f t="shared" ref="H17:H27" si="21">IFERROR(IF(B17="","",IF(D17=INDEX(N:N,MATCH(C17,M:M,0)),"",INDEX(N:N,MATCH(C17,M:M,0))&amp; " bid")&amp;IF(E17=INDEX(O:O,MATCH(C17,M:M,0)),"",IF(D17=INDEX(N:N,MATCH(C17,M:M,0)),INDEX(O:O,MATCH(C17,M:M,0))&amp;" offer"," / "&amp;INDEX(O:O,MATCH(C17,M:M,0))&amp;" offer"))),"")</f>
        <v/>
      </c>
      <c r="I17" s="6" t="str">
        <f>IF(A17&lt;&gt;"JP",IF(B17="","",IF(H17="",B17,B17&amp;" -&gt; "&amp;H17)),IF(B17="","",IF(G17="",B17,B17&amp;" -&gt; "&amp;G17)))</f>
        <v/>
      </c>
      <c r="J17" s="6" t="str">
        <f>IF(B17="","",IF(H17="",B17,B17&amp;" -&gt; "&amp;H17))</f>
        <v/>
      </c>
      <c r="M17" s="22" t="str">
        <f>IFERROR(IF(P3="","",M3&amp;" "&amp;N3&amp;" / "&amp;O3),"")</f>
        <v>Mar23 -9 / 0</v>
      </c>
      <c r="N17" t="str">
        <f>IF(M17&lt;&gt;"","{EU} "&amp; SUBSTITUTE(SUBSTITUTE($M$16,"Tightest ",""),"run ","") &amp; " " &amp;M17,"")</f>
        <v>{EU} SX5E TRF vs 6 Mar23 -9 / 0</v>
      </c>
      <c r="R17" s="68"/>
      <c r="S17" s="110" t="str">
        <f>IF(V17&lt;D17, "Better Bid | ",IF(V17&gt;D17,"Worse bid | ","")) &amp; IF(W17&gt;E17,"Better offer",IF(W17&lt;E17,"Worse offer",""))</f>
        <v/>
      </c>
      <c r="U17" s="1" t="str">
        <f>IF(R17="","",SUBSTITUTE(LEFT(R17,FIND(" ",R17)-1),"-",""))</f>
        <v/>
      </c>
      <c r="V17" t="str">
        <f>IF(R17="","",IFERROR(IFERROR(VALUE(SUBSTITUTE(MID(R17,FIND(" ",R17),FIND("/",R17)-FIND(" ",R17))," ","")),IF(FIND("B",UPPER(R17)),VALUE(MID(R17,FIND(" ",R17),FIND("B",UPPER(R17))-FIND(" ",R17))),"")),""))</f>
        <v/>
      </c>
      <c r="W17" s="2" t="str">
        <f>IF(R17="","",IFERROR(IFERROR(VALUE(SUBSTITUTE(RIGHT(R17,LEN(R17)-FIND("/",R17))," ","")),IF(FIND("O",UPPER(R17)),VALUE(MID(R17,FIND(" ",R17),FIND("O",UPPER(R17))-FIND(" ",R17))),"")),""))</f>
        <v/>
      </c>
    </row>
    <row r="18" spans="1:43" x14ac:dyDescent="0.25">
      <c r="A18" t="str">
        <f>IF(B18="","",IF(A17="",IF(A16="","",A16),A17))</f>
        <v>BNP</v>
      </c>
      <c r="B18" s="34" t="s">
        <v>151</v>
      </c>
      <c r="C18" s="36" t="str">
        <f>IF(B18="","",SUBSTITUTE(SUBSTITUTE(LEFT(B18,FIND(" ",B18)-1),"-",""),":",""))</f>
        <v>Dec23</v>
      </c>
      <c r="D18">
        <f>IF(B18="","",IFERROR(IFERROR(VALUE(SUBSTITUTE(MID(B18,FIND(" ",B18),FIND("/",B18)-FIND(" ",B18))," ","")),IF(FIND("B",UPPER(B18)),VALUE(MID(B18,FIND(" ",B18),FIND("B",UPPER(B18))-FIND(" ",B18))),"")),""))</f>
        <v>16.5</v>
      </c>
      <c r="E18">
        <f>IF(B18="","",IFERROR(IFERROR(VALUE(SUBSTITUTE(RIGHT(B18,LEN(B18)-FIND("/",B18))," ","")),IF(FIND("O",UPPER(B18)),VALUE(MID(B18,FIND(" ",B18),FIND("O",UPPER(B18))-FIND(" ",B18))),"")),""))</f>
        <v>18.5</v>
      </c>
      <c r="F18" s="2">
        <f>IF(B18="","",IF(F17="",IF(F16="","",F16),F17))</f>
        <v>6</v>
      </c>
      <c r="G18" s="6" t="str">
        <f t="shared" si="20"/>
        <v>17 bid / best offer (1 with you)</v>
      </c>
      <c r="H18" s="1" t="str">
        <f t="shared" si="21"/>
        <v>17 bid</v>
      </c>
      <c r="I18" s="6" t="str">
        <f>IF(B18="","",C18&amp;" "&amp;LEFT(T18,1)&amp;VLOOKUP(C18,$M$4:$O$13,2,FALSE)&amp;IF(D18&lt;&gt;VLOOKUP(C18,$M$4:$O$13,2,FALSE),"*","")&amp;RIGHT(T18,1)&amp;" / "&amp;LEFT(AQ18,1)&amp;VLOOKUP(C18,$M$4:$O$13,3,FALSE)&amp;IF(E18&lt;&gt;VLOOKUP(C18,$M$4:$O$13,3,FALSE),"*","")&amp;RIGHT(AQ18,1))</f>
        <v>Dec23 17* / 18.5</v>
      </c>
      <c r="J18" s="6" t="str">
        <f>IF(B18="","",IF(H18="",B18,B18&amp;" -&gt; "&amp;H18))</f>
        <v>Dec23 16.5/18.5 -&gt; 17 bid</v>
      </c>
      <c r="K18" t="str">
        <f>IF(AND(D18=$N$4,COUNTIF(D:D,$N$4)=1),"Best bid solo","") &amp; " " &amp; IF(AND(E18=$O$4,COUNTIF(E:E,$O$4)=1),"Best offer solo","")</f>
        <v xml:space="preserve"> </v>
      </c>
      <c r="M18" s="22" t="str">
        <f>IFERROR(IF(P5="","",M5&amp;" "&amp;N5&amp;" / "&amp;O5),"")</f>
        <v>Dec23 17 / 18.5</v>
      </c>
      <c r="N18" t="str">
        <f>IF(M18&lt;&gt;"","{EU} "&amp; SUBSTITUTE(SUBSTITUTE($M$16,"Tightest ",""),"run ","") &amp; " " &amp;M18,"")</f>
        <v>{EU} SX5E TRF vs 6 Dec23 17 / 18.5</v>
      </c>
      <c r="R18" s="109"/>
      <c r="S18" s="110" t="str">
        <f t="shared" ref="S18:S25" si="22">IF(V18&lt;D18, "Better Bid | ",IF(V18&gt;D18,"Worse bid | ","")) &amp; IF(W18&gt;E18,"Better offer",IF(W18&lt;E18,"Worse offer",""))</f>
        <v>Worse bid | Better offer</v>
      </c>
      <c r="U18" s="1" t="str">
        <f t="shared" ref="U18:U27" si="23">IF(R18="","",SUBSTITUTE(LEFT(R18,FIND(" ",R18)-1),"-",""))</f>
        <v/>
      </c>
      <c r="V18" t="str">
        <f t="shared" ref="V18:V27" si="24">IF(R18="","",IFERROR(IFERROR(VALUE(SUBSTITUTE(MID(R18,FIND(" ",R18),FIND("/",R18)-FIND(" ",R18))," ","")),IF(FIND("B",UPPER(R18)),VALUE(MID(R18,FIND(" ",R18),FIND("B",UPPER(R18))-FIND(" ",R18))),"")),""))</f>
        <v/>
      </c>
      <c r="W18" s="2" t="str">
        <f t="shared" ref="W18:W27" si="25">IF(R18="","",IFERROR(IFERROR(VALUE(SUBSTITUTE(RIGHT(R18,LEN(R18)-FIND("/",R18))," ","")),IF(FIND("O",UPPER(R18)),VALUE(MID(R18,FIND(" ",R18),FIND("O",UPPER(R18))-FIND(" ",R18))),"")),""))</f>
        <v/>
      </c>
      <c r="AQ18" s="63"/>
    </row>
    <row r="19" spans="1:43" x14ac:dyDescent="0.25">
      <c r="A19" t="str">
        <f t="shared" ref="A19:A30" si="26">IF(B19="","",IF(A18="",IF(A17="","",A17),A18))</f>
        <v>BNP</v>
      </c>
      <c r="B19" s="34" t="s">
        <v>152</v>
      </c>
      <c r="C19" s="36" t="str">
        <f t="shared" ref="C19:C26" si="27">IF(B19="","",SUBSTITUTE(SUBSTITUTE(LEFT(B19,FIND(" ",B19)-1),"-",""),":",""))</f>
        <v>Dec24</v>
      </c>
      <c r="D19">
        <f>IF(B19="","",IFERROR(IFERROR(VALUE(SUBSTITUTE(MID(B19,FIND(" ",B19),FIND("/",B19)-FIND(" ",B19))," ","")),IF(FIND("B",UPPER(B19)),VALUE(MID(B19,FIND(" ",B19),FIND("B",UPPER(B19))-FIND(" ",B19))),"")),""))</f>
        <v>21.5</v>
      </c>
      <c r="E19">
        <f>IF(B19="","",IFERROR(IFERROR(VALUE(SUBSTITUTE(RIGHT(B19,LEN(B19)-FIND("/",B19))," ","")),IF(FIND("O",UPPER(B19)),VALUE(MID(B19,FIND(" ",B19),FIND("O",UPPER(B19))-FIND(" ",B19))),"")),""))</f>
        <v>23.5</v>
      </c>
      <c r="F19" s="2">
        <f>IF(B19="","",IF(F18="",IF(F17="","",F17),F18))</f>
        <v>6</v>
      </c>
      <c r="G19" s="6" t="str">
        <f t="shared" si="20"/>
        <v>22 bid / best offer (1 with you)</v>
      </c>
      <c r="H19" s="1" t="str">
        <f t="shared" si="21"/>
        <v>22 bid</v>
      </c>
      <c r="I19" s="6" t="str">
        <f t="shared" ref="I19:I27" si="28">IF(B19="","",C19&amp;" "&amp;LEFT(T19,1)&amp;VLOOKUP(C19,$M$4:$O$13,2,FALSE)&amp;IF(D19&lt;&gt;VLOOKUP(C19,$M$4:$O$13,2,FALSE),"*","")&amp;RIGHT(T19,1)&amp;" / "&amp;LEFT(AQ19,1)&amp;VLOOKUP(C19,$M$4:$O$13,3,FALSE)&amp;IF(E19&lt;&gt;VLOOKUP(C19,$M$4:$O$13,3,FALSE),"*","")&amp;RIGHT(AQ19,1))</f>
        <v>Dec24 22* / 23.5</v>
      </c>
      <c r="J19" s="6" t="str">
        <f t="shared" ref="J19:J30" si="29">IF(B19="","",IF(H19="",B19,B19&amp;" -&gt; "&amp;H19))</f>
        <v>Dec24 21.5/23.5 -&gt; 22 bid</v>
      </c>
      <c r="K19" t="str">
        <f t="shared" ref="K19:K26" si="30">IF(AND(D19=$N5,COUNTIF(D:D,$N5)=1),"Best bid solo","") &amp; " " &amp; IF(AND(E19=$O5,COUNTIF(E:E,$O5)=1),"Best offer solo","")</f>
        <v xml:space="preserve"> </v>
      </c>
      <c r="M19" s="22" t="str">
        <f t="shared" ref="M19:M24" si="31">IFERROR(IF(P6="","",M6&amp;" "&amp;N6&amp;" / "&amp;O6),"")</f>
        <v>Dec24 22 / 23.5</v>
      </c>
      <c r="N19" t="str">
        <f t="shared" ref="N19:N26" si="32">IF(M19&lt;&gt;"","{EU} "&amp; SUBSTITUTE(SUBSTITUTE($M$16,"Tightest ",""),"run ","") &amp; " " &amp;M19,"")</f>
        <v>{EU} SX5E TRF vs 6 Dec24 22 / 23.5</v>
      </c>
      <c r="R19" s="109"/>
      <c r="S19" s="110" t="str">
        <f t="shared" si="22"/>
        <v>Worse bid | Better offer</v>
      </c>
      <c r="U19" s="1" t="str">
        <f t="shared" si="23"/>
        <v/>
      </c>
      <c r="V19" t="str">
        <f t="shared" si="24"/>
        <v/>
      </c>
      <c r="W19" s="2" t="str">
        <f t="shared" si="25"/>
        <v/>
      </c>
      <c r="AQ19" s="63"/>
    </row>
    <row r="20" spans="1:43" x14ac:dyDescent="0.25">
      <c r="A20" t="str">
        <f t="shared" si="26"/>
        <v>BNP</v>
      </c>
      <c r="B20" s="34" t="s">
        <v>143</v>
      </c>
      <c r="C20" s="36" t="str">
        <f t="shared" si="27"/>
        <v>Dec25</v>
      </c>
      <c r="D20">
        <f t="shared" si="18"/>
        <v>27.5</v>
      </c>
      <c r="E20">
        <f t="shared" si="19"/>
        <v>29.5</v>
      </c>
      <c r="F20" s="2">
        <f t="shared" ref="F20:F27" si="33">IF(B20="","",IF(F19="",IF(F18="","",F18),F19))</f>
        <v>6</v>
      </c>
      <c r="G20" s="6" t="str">
        <f t="shared" si="20"/>
        <v>best bid (2 with you) / best offer (2 with you)</v>
      </c>
      <c r="H20" s="1" t="str">
        <f t="shared" si="21"/>
        <v/>
      </c>
      <c r="I20" s="6" t="str">
        <f t="shared" si="28"/>
        <v>Dec25 27.5 / 29.5</v>
      </c>
      <c r="J20" s="6" t="str">
        <f t="shared" si="29"/>
        <v>Dec25 27.5/29.5</v>
      </c>
      <c r="K20" t="str">
        <f t="shared" si="30"/>
        <v xml:space="preserve"> </v>
      </c>
      <c r="M20" s="22" t="str">
        <f t="shared" si="31"/>
        <v>Dec25 27.5 / 29.5</v>
      </c>
      <c r="N20" t="str">
        <f t="shared" si="32"/>
        <v>{EU} SX5E TRF vs 6 Dec25 27.5 / 29.5</v>
      </c>
      <c r="R20" s="109"/>
      <c r="S20" s="110" t="str">
        <f t="shared" si="22"/>
        <v>Worse bid | Better offer</v>
      </c>
      <c r="U20" s="1" t="str">
        <f t="shared" si="23"/>
        <v/>
      </c>
      <c r="V20" t="str">
        <f t="shared" si="24"/>
        <v/>
      </c>
      <c r="W20" s="2" t="str">
        <f t="shared" si="25"/>
        <v/>
      </c>
      <c r="AQ20" s="63"/>
    </row>
    <row r="21" spans="1:43" x14ac:dyDescent="0.25">
      <c r="A21" t="str">
        <f t="shared" si="26"/>
        <v>BNP</v>
      </c>
      <c r="B21" s="34" t="s">
        <v>144</v>
      </c>
      <c r="C21" s="36" t="str">
        <f t="shared" si="27"/>
        <v>Dec26</v>
      </c>
      <c r="D21">
        <f t="shared" si="18"/>
        <v>34</v>
      </c>
      <c r="E21">
        <f t="shared" si="19"/>
        <v>36</v>
      </c>
      <c r="F21" s="2">
        <f t="shared" si="33"/>
        <v>6</v>
      </c>
      <c r="G21" s="6" t="str">
        <f t="shared" si="20"/>
        <v>best bid (2 with you) / best offer (2 with you)</v>
      </c>
      <c r="H21" s="1" t="str">
        <f t="shared" si="21"/>
        <v/>
      </c>
      <c r="I21" s="6" t="str">
        <f t="shared" si="28"/>
        <v>Dec26 34 / 36</v>
      </c>
      <c r="J21" s="6" t="str">
        <f t="shared" si="29"/>
        <v>Dec26 34/36</v>
      </c>
      <c r="K21" t="str">
        <f t="shared" si="30"/>
        <v xml:space="preserve"> </v>
      </c>
      <c r="M21" s="22" t="str">
        <f t="shared" si="31"/>
        <v>Dec26 34 / 36</v>
      </c>
      <c r="N21" t="str">
        <f t="shared" si="32"/>
        <v>{EU} SX5E TRF vs 6 Dec26 34 / 36</v>
      </c>
      <c r="R21" s="109"/>
      <c r="S21" s="110" t="str">
        <f t="shared" si="22"/>
        <v>Worse bid | Better offer</v>
      </c>
      <c r="U21" s="1" t="str">
        <f t="shared" si="23"/>
        <v/>
      </c>
      <c r="V21" t="str">
        <f t="shared" si="24"/>
        <v/>
      </c>
      <c r="W21" s="2" t="str">
        <f t="shared" si="25"/>
        <v/>
      </c>
      <c r="AQ21" s="63"/>
    </row>
    <row r="22" spans="1:43" x14ac:dyDescent="0.25">
      <c r="A22" t="str">
        <f t="shared" si="26"/>
        <v>BNP</v>
      </c>
      <c r="B22" s="34" t="s">
        <v>153</v>
      </c>
      <c r="C22" s="36" t="str">
        <f t="shared" si="27"/>
        <v>Dec27</v>
      </c>
      <c r="D22">
        <f t="shared" si="18"/>
        <v>40.5</v>
      </c>
      <c r="E22">
        <f t="shared" si="19"/>
        <v>43.5</v>
      </c>
      <c r="F22" s="2">
        <f t="shared" si="33"/>
        <v>6</v>
      </c>
      <c r="G22" s="6" t="str">
        <f t="shared" si="20"/>
        <v>41 bid / 43 offer</v>
      </c>
      <c r="H22" s="1" t="str">
        <f t="shared" si="21"/>
        <v>41 bid / 43 offer</v>
      </c>
      <c r="I22" s="6" t="str">
        <f t="shared" si="28"/>
        <v>Dec27 41* / 43*</v>
      </c>
      <c r="J22" s="6" t="str">
        <f t="shared" si="29"/>
        <v>Dec27 40.5/43.5 -&gt; 41 bid / 43 offer</v>
      </c>
      <c r="K22" t="str">
        <f t="shared" si="30"/>
        <v xml:space="preserve"> </v>
      </c>
      <c r="M22" s="22" t="str">
        <f t="shared" si="31"/>
        <v>Dec27 41 / 43</v>
      </c>
      <c r="N22" t="str">
        <f t="shared" si="32"/>
        <v>{EU} SX5E TRF vs 6 Dec27 41 / 43</v>
      </c>
      <c r="R22" s="109"/>
      <c r="S22" s="110" t="str">
        <f t="shared" si="22"/>
        <v>Worse bid | Better offer</v>
      </c>
      <c r="U22" s="1" t="str">
        <f t="shared" si="23"/>
        <v/>
      </c>
      <c r="V22" t="str">
        <f t="shared" si="24"/>
        <v/>
      </c>
      <c r="W22" s="2" t="str">
        <f t="shared" si="25"/>
        <v/>
      </c>
      <c r="AQ22" s="63"/>
    </row>
    <row r="23" spans="1:43" x14ac:dyDescent="0.25">
      <c r="A23" t="str">
        <f t="shared" si="26"/>
        <v>BNP</v>
      </c>
      <c r="B23" s="34" t="s">
        <v>154</v>
      </c>
      <c r="C23" s="36" t="str">
        <f t="shared" si="27"/>
        <v>Dec28</v>
      </c>
      <c r="D23">
        <f t="shared" si="18"/>
        <v>48.5</v>
      </c>
      <c r="E23">
        <f t="shared" si="19"/>
        <v>51.5</v>
      </c>
      <c r="F23" s="2">
        <f t="shared" si="33"/>
        <v>6</v>
      </c>
      <c r="G23" s="6" t="str">
        <f t="shared" si="20"/>
        <v>best bid  / 50 offer</v>
      </c>
      <c r="H23" s="1" t="str">
        <f t="shared" si="21"/>
        <v>50 offer</v>
      </c>
      <c r="I23" s="6" t="str">
        <f t="shared" si="28"/>
        <v>Dec28 48.5 / 50*</v>
      </c>
      <c r="J23" s="6" t="str">
        <f t="shared" si="29"/>
        <v>Dec28 48.5/51.5 -&gt; 50 offer</v>
      </c>
      <c r="K23" t="str">
        <f t="shared" si="30"/>
        <v xml:space="preserve"> </v>
      </c>
      <c r="M23" s="22" t="str">
        <f t="shared" si="31"/>
        <v>Dec28 48.5 / 50</v>
      </c>
      <c r="N23" t="str">
        <f t="shared" si="32"/>
        <v>{EU} SX5E TRF vs 6 Dec28 48.5 / 50</v>
      </c>
      <c r="R23" s="109"/>
      <c r="S23" s="110" t="str">
        <f t="shared" si="22"/>
        <v>Worse bid | Better offer</v>
      </c>
      <c r="U23" s="1" t="str">
        <f t="shared" si="23"/>
        <v/>
      </c>
      <c r="V23" t="str">
        <f t="shared" si="24"/>
        <v/>
      </c>
      <c r="W23" s="2" t="str">
        <f t="shared" si="25"/>
        <v/>
      </c>
      <c r="AQ23" s="63"/>
    </row>
    <row r="24" spans="1:43" x14ac:dyDescent="0.25">
      <c r="A24" t="str">
        <f t="shared" si="26"/>
        <v>BNP</v>
      </c>
      <c r="B24" s="34" t="s">
        <v>155</v>
      </c>
      <c r="C24" s="36" t="str">
        <f t="shared" si="27"/>
        <v>Dec29</v>
      </c>
      <c r="D24">
        <f t="shared" si="18"/>
        <v>55.5</v>
      </c>
      <c r="E24">
        <f t="shared" si="19"/>
        <v>59.5</v>
      </c>
      <c r="F24" s="2">
        <f t="shared" si="33"/>
        <v>6</v>
      </c>
      <c r="G24" s="6" t="str">
        <f t="shared" si="20"/>
        <v>best bid  / 58 offer</v>
      </c>
      <c r="H24" s="1" t="str">
        <f t="shared" si="21"/>
        <v>58 offer</v>
      </c>
      <c r="I24" s="6" t="str">
        <f t="shared" si="28"/>
        <v>Dec29 55.5 / 58*</v>
      </c>
      <c r="J24" s="6" t="str">
        <f t="shared" si="29"/>
        <v>Dec29 55.5/59.5 -&gt; 58 offer</v>
      </c>
      <c r="K24" t="str">
        <f t="shared" si="30"/>
        <v xml:space="preserve"> </v>
      </c>
      <c r="M24" s="22" t="str">
        <f t="shared" si="31"/>
        <v>Dec29 55.5 / 58</v>
      </c>
      <c r="N24" t="str">
        <f t="shared" si="32"/>
        <v>{EU} SX5E TRF vs 6 Dec29 55.5 / 58</v>
      </c>
      <c r="R24" s="109"/>
      <c r="S24" s="110" t="str">
        <f t="shared" si="22"/>
        <v>Worse bid | Better offer</v>
      </c>
      <c r="U24" s="1" t="str">
        <f t="shared" si="23"/>
        <v/>
      </c>
      <c r="V24" t="str">
        <f t="shared" si="24"/>
        <v/>
      </c>
      <c r="W24" s="2" t="str">
        <f t="shared" si="25"/>
        <v/>
      </c>
      <c r="AQ24" s="63"/>
    </row>
    <row r="25" spans="1:43" x14ac:dyDescent="0.25">
      <c r="A25" t="str">
        <f t="shared" ref="A25:A30" si="34">IF(B25="","",IF(A24="",IF(A23="","",A23),A24))</f>
        <v>BNP</v>
      </c>
      <c r="B25" s="34" t="s">
        <v>156</v>
      </c>
      <c r="C25" s="36" t="str">
        <f t="shared" ref="C25:C30" si="35">IF(B25="","",SUBSTITUTE(SUBSTITUTE(LEFT(B25,FIND(" ",B25)-1),"-",""),":",""))</f>
        <v>Dec30</v>
      </c>
      <c r="D25">
        <f t="shared" ref="D25:D30" si="36">IF(B25="","",IFERROR(IFERROR(VALUE(SUBSTITUTE(MID(B25,FIND(" ",B25),FIND("/",B25)-FIND(" ",B25))," ","")),IF(FIND("B",UPPER(B25)),VALUE(MID(B25,FIND(" ",B25),FIND("B",UPPER(B25))-FIND(" ",B25))),"")),""))</f>
        <v>63.5</v>
      </c>
      <c r="E25">
        <f t="shared" ref="E25:E30" si="37">IF(B25="","",IFERROR(IFERROR(VALUE(SUBSTITUTE(RIGHT(B25,LEN(B25)-FIND("/",B25))," ","")),IF(FIND("O",UPPER(B25)),VALUE(MID(B25,FIND(" ",B25),FIND("O",UPPER(B25))-FIND(" ",B25))),"")),""))</f>
        <v>67.5</v>
      </c>
      <c r="F25" s="2">
        <f t="shared" ref="F25:F30" si="38">IF(B25="","",IF(F24="",IF(F23="","",F23),F24))</f>
        <v>6</v>
      </c>
      <c r="G25" s="6" t="str">
        <f t="shared" ref="G25:G30" si="39">IFERROR(IF(B25="","",IF(D25=INDEX(N:N,MATCH(C25,M:M,0)),"best bid "&amp;IF(LEFT(INDEX(P:P,MATCH(C25,M:M,0)),1)-1=0,"","("&amp;LEFT(INDEX(P:P,MATCH(C25,M:M,0)),1)-1&amp;" with you)"),INDEX(N:N,MATCH(C25,M:M,0))&amp; " bid")&amp;" / "&amp;IF(E25=INDEX(O:O,MATCH(C25,M:M,0)),"best offer "&amp;IF(LEFT(INDEX(Q:Q,MATCH(C25,M:M,0)),1)-1=0,"","("&amp;LEFT(INDEX(Q:Q,MATCH(C25,M:M,0)),1)-1&amp;" with you)"),INDEX(O:O,MATCH(C25,M:M,0))&amp;" offer")),"")</f>
        <v>best bid  / 66 offer</v>
      </c>
      <c r="H25" s="1" t="str">
        <f t="shared" ref="H25:H30" si="40">IFERROR(IF(B25="","",IF(D25=INDEX(N:N,MATCH(C25,M:M,0)),"",INDEX(N:N,MATCH(C25,M:M,0))&amp; " bid")&amp;IF(E25=INDEX(O:O,MATCH(C25,M:M,0)),"",IF(D25=INDEX(N:N,MATCH(C25,M:M,0)),INDEX(O:O,MATCH(C25,M:M,0))&amp;" offer"," / "&amp;INDEX(O:O,MATCH(C25,M:M,0))&amp;" offer"))),"")</f>
        <v>66 offer</v>
      </c>
      <c r="I25" s="6" t="str">
        <f t="shared" ref="I25:I30" si="41">IF(B25="","",C25&amp;" "&amp;LEFT(T25,1)&amp;VLOOKUP(C25,$M$4:$O$13,2,FALSE)&amp;IF(D25&lt;&gt;VLOOKUP(C25,$M$4:$O$13,2,FALSE),"*","")&amp;RIGHT(T25,1)&amp;" / "&amp;LEFT(AQ25,1)&amp;VLOOKUP(C25,$M$4:$O$13,3,FALSE)&amp;IF(E25&lt;&gt;VLOOKUP(C25,$M$4:$O$13,3,FALSE),"*","")&amp;RIGHT(AQ25,1))</f>
        <v>Dec30 63.5 / 66*</v>
      </c>
      <c r="J25" s="6" t="str">
        <f t="shared" ref="J25:J30" si="42">IF(B25="","",IF(H25="",B25,B25&amp;" -&gt; "&amp;H25))</f>
        <v>Dec30 63.5/67.5 -&gt; 66 offer</v>
      </c>
      <c r="K25" t="str">
        <f t="shared" si="30"/>
        <v xml:space="preserve"> </v>
      </c>
      <c r="M25" s="22" t="str">
        <f>IFERROR(IF(P12="","",M12&amp;" "&amp;N12&amp;" / "&amp;O12),"")</f>
        <v>Dec30 63.5 / 66</v>
      </c>
      <c r="N25" t="str">
        <f>IF(M25&lt;&gt;"","{EU} "&amp; SUBSTITUTE(SUBSTITUTE($M$16,"Tightest ",""),"run ","") &amp; " " &amp;M25,"")</f>
        <v>{EU} SX5E TRF vs 6 Dec30 63.5 / 66</v>
      </c>
      <c r="R25" s="109"/>
      <c r="S25" s="110" t="str">
        <f t="shared" si="22"/>
        <v>Worse bid | Better offer</v>
      </c>
      <c r="U25" s="1" t="str">
        <f t="shared" si="23"/>
        <v/>
      </c>
      <c r="V25" t="str">
        <f t="shared" si="24"/>
        <v/>
      </c>
      <c r="W25" s="2" t="str">
        <f t="shared" si="25"/>
        <v/>
      </c>
      <c r="AQ25" s="63"/>
    </row>
    <row r="26" spans="1:43" x14ac:dyDescent="0.25">
      <c r="A26" t="str">
        <f t="shared" si="34"/>
        <v>BNP</v>
      </c>
      <c r="B26" s="34" t="s">
        <v>157</v>
      </c>
      <c r="C26" s="36" t="str">
        <f t="shared" si="35"/>
        <v>Dec31</v>
      </c>
      <c r="D26">
        <f t="shared" si="36"/>
        <v>70</v>
      </c>
      <c r="E26">
        <f t="shared" si="37"/>
        <v>76</v>
      </c>
      <c r="F26" s="2">
        <f t="shared" si="38"/>
        <v>6</v>
      </c>
      <c r="G26" s="6" t="str">
        <f t="shared" si="39"/>
        <v>best bid (1 with you) / 74.5 offer</v>
      </c>
      <c r="H26" s="1" t="str">
        <f t="shared" si="40"/>
        <v>74.5 offer</v>
      </c>
      <c r="I26" s="6" t="str">
        <f t="shared" si="41"/>
        <v>Dec31 70 / 74.5*</v>
      </c>
      <c r="J26" s="6" t="str">
        <f t="shared" si="42"/>
        <v>Dec31 70/76 -&gt; 74.5 offer</v>
      </c>
      <c r="K26" t="str">
        <f t="shared" si="30"/>
        <v xml:space="preserve"> </v>
      </c>
      <c r="M26" s="22" t="str">
        <f>IFERROR(IF(P13="","",M13&amp;" "&amp;N13&amp;" / "&amp;O13),"")</f>
        <v>Dec31 70 / 74.5</v>
      </c>
      <c r="N26" t="str">
        <f t="shared" si="32"/>
        <v>{EU} SX5E TRF vs 6 Dec31 70 / 74.5</v>
      </c>
      <c r="R26" s="109"/>
      <c r="S26" s="110" t="str">
        <f>IF(V26&lt;D26, "Better Bid | ",IF(V26&gt;D26,"Worse bid | ","")) &amp; IF(W26&gt;E26,"Better offer",IF(W26&lt;E26,"Worse offer",""))</f>
        <v>Worse bid | Better offer</v>
      </c>
      <c r="U26" s="1" t="str">
        <f t="shared" si="23"/>
        <v/>
      </c>
      <c r="V26" t="str">
        <f t="shared" si="24"/>
        <v/>
      </c>
      <c r="W26" s="2" t="str">
        <f t="shared" si="25"/>
        <v/>
      </c>
      <c r="AQ26" s="63"/>
    </row>
    <row r="27" spans="1:43" ht="15.75" thickBot="1" x14ac:dyDescent="0.3">
      <c r="A27" t="str">
        <f t="shared" si="34"/>
        <v/>
      </c>
      <c r="B27" s="34"/>
      <c r="C27" s="36" t="str">
        <f t="shared" si="35"/>
        <v/>
      </c>
      <c r="D27" t="str">
        <f t="shared" si="36"/>
        <v/>
      </c>
      <c r="E27" t="str">
        <f t="shared" si="37"/>
        <v/>
      </c>
      <c r="F27" s="2" t="str">
        <f t="shared" si="38"/>
        <v/>
      </c>
      <c r="G27" s="6" t="str">
        <f t="shared" si="39"/>
        <v/>
      </c>
      <c r="H27" s="1" t="str">
        <f t="shared" si="40"/>
        <v/>
      </c>
      <c r="I27" s="6" t="str">
        <f t="shared" si="41"/>
        <v/>
      </c>
      <c r="J27" s="6" t="str">
        <f t="shared" si="42"/>
        <v/>
      </c>
      <c r="K27" t="str">
        <f>IF(AND(D27=$N13,COUNTIF(D:D,$N13)=1),"Best bid solo","") &amp; " " &amp; IF(AND(E27=$O13,COUNTIF(E:E,$O13)=1),"Best offer solo","")</f>
        <v xml:space="preserve"> </v>
      </c>
      <c r="M27" s="22" t="str">
        <f>IFERROR(IF(P14="","",M14&amp;" "&amp;N14&amp;" / "&amp;O14),"")</f>
        <v/>
      </c>
      <c r="N27" t="str">
        <f t="shared" ref="N27" si="43">IF(M27&lt;&gt;"","{EU} "&amp; SUBSTITUTE(SUBSTITUTE($M$16,"Tightest ",""),"run ","") &amp; " " &amp;M27,"")</f>
        <v/>
      </c>
      <c r="R27" s="111"/>
      <c r="S27" s="112" t="str">
        <f t="shared" ref="S27:S28" si="44">IF(V27&lt;D27,"Better Bid",IF(V27&gt;D27,"Worse bid","")) &amp; " " &amp; IF(W27&gt;E27,"Better offer",IF(W27&lt;E27,"Worse offer",""))</f>
        <v xml:space="preserve"> </v>
      </c>
      <c r="U27" s="1" t="str">
        <f t="shared" si="23"/>
        <v/>
      </c>
      <c r="V27" t="str">
        <f t="shared" si="24"/>
        <v/>
      </c>
      <c r="W27" s="2" t="str">
        <f t="shared" si="25"/>
        <v/>
      </c>
      <c r="AQ27" s="63"/>
    </row>
    <row r="28" spans="1:43" x14ac:dyDescent="0.25">
      <c r="A28" t="str">
        <f t="shared" si="34"/>
        <v/>
      </c>
      <c r="B28" s="34"/>
      <c r="C28" s="36" t="str">
        <f t="shared" si="35"/>
        <v/>
      </c>
      <c r="D28" t="str">
        <f t="shared" si="36"/>
        <v/>
      </c>
      <c r="E28" t="str">
        <f t="shared" si="37"/>
        <v/>
      </c>
      <c r="F28" s="2" t="str">
        <f t="shared" si="38"/>
        <v/>
      </c>
      <c r="G28" s="6" t="str">
        <f t="shared" si="39"/>
        <v/>
      </c>
      <c r="H28" s="1" t="str">
        <f t="shared" si="40"/>
        <v/>
      </c>
      <c r="I28" s="6" t="str">
        <f t="shared" si="41"/>
        <v/>
      </c>
      <c r="J28" s="6" t="str">
        <f t="shared" si="42"/>
        <v/>
      </c>
      <c r="M28" s="22" t="str">
        <f t="shared" ref="M28" si="45">IFERROR(IF(P15="","",M15&amp;" "&amp;N15&amp;" / "&amp;O15),"")</f>
        <v/>
      </c>
      <c r="S28" t="str">
        <f t="shared" si="44"/>
        <v xml:space="preserve"> </v>
      </c>
      <c r="AQ28" s="63"/>
    </row>
    <row r="29" spans="1:43" x14ac:dyDescent="0.25">
      <c r="A29" t="str">
        <f t="shared" si="34"/>
        <v/>
      </c>
      <c r="B29" s="34"/>
      <c r="C29" s="36" t="str">
        <f t="shared" si="35"/>
        <v/>
      </c>
      <c r="D29" t="str">
        <f t="shared" si="36"/>
        <v/>
      </c>
      <c r="E29" t="str">
        <f t="shared" si="37"/>
        <v/>
      </c>
      <c r="F29" s="2" t="str">
        <f t="shared" si="38"/>
        <v/>
      </c>
      <c r="G29" s="6" t="str">
        <f t="shared" si="39"/>
        <v/>
      </c>
      <c r="H29" s="1" t="str">
        <f t="shared" si="40"/>
        <v/>
      </c>
      <c r="I29" s="6" t="str">
        <f t="shared" si="41"/>
        <v/>
      </c>
      <c r="J29" s="6" t="str">
        <f t="shared" si="42"/>
        <v/>
      </c>
      <c r="M29" s="22" t="str">
        <f t="shared" ref="M29" si="46">IFERROR(IF(P16="","",M16&amp;" "&amp;N16&amp;" / "&amp;O16),"")</f>
        <v/>
      </c>
      <c r="AQ29" s="63"/>
    </row>
    <row r="30" spans="1:43" x14ac:dyDescent="0.25">
      <c r="A30" t="str">
        <f t="shared" si="34"/>
        <v/>
      </c>
      <c r="B30" s="34"/>
      <c r="C30" s="36" t="str">
        <f t="shared" si="35"/>
        <v/>
      </c>
      <c r="D30" t="str">
        <f t="shared" si="36"/>
        <v/>
      </c>
      <c r="E30" t="str">
        <f t="shared" si="37"/>
        <v/>
      </c>
      <c r="F30" s="2" t="str">
        <f t="shared" si="38"/>
        <v/>
      </c>
      <c r="G30" s="6" t="str">
        <f t="shared" si="39"/>
        <v/>
      </c>
      <c r="H30" s="1" t="str">
        <f t="shared" si="40"/>
        <v/>
      </c>
      <c r="I30" s="6" t="str">
        <f t="shared" si="41"/>
        <v/>
      </c>
      <c r="J30" s="6" t="str">
        <f t="shared" si="42"/>
        <v/>
      </c>
      <c r="U30" t="str">
        <f>IF(R33="","",SUBSTITUTE(LEFT(R33,FIND(" ",R33)-1),"-",""))</f>
        <v/>
      </c>
      <c r="V30" t="str">
        <f>IF(R33="","",IFERROR(IFERROR(VALUE(SUBSTITUTE(MID(R33,FIND(" ",R33),FIND("/",R33)-FIND(" ",R33))," ","")),IF(FIND("B",UPPER(R33)),VALUE(MID(R33,FIND(" ",R33),FIND("B",UPPER(R33))-FIND(" ",R33))),"")),""))</f>
        <v/>
      </c>
      <c r="W30" t="str">
        <f>IF(R33="","",IFERROR(IFERROR(VALUE(SUBSTITUTE(RIGHT(R33,LEN(R33)-FIND("/",R33))," ","")),IF(FIND("O",UPPER(R33)),VALUE(MID(R33,FIND(" ",R33),FIND("O",UPPER(R33))-FIND(" ",R33))),"")),""))</f>
        <v/>
      </c>
      <c r="AQ30" s="63"/>
    </row>
    <row r="31" spans="1:43" ht="15" customHeight="1" thickBot="1" x14ac:dyDescent="0.3">
      <c r="M31" s="134" t="str">
        <f>IF(COUNT(_xlfn.UNIQUE(F:F))&lt;&gt;1,"CARE, BASIS ISSUE","GO")</f>
        <v>GO</v>
      </c>
      <c r="U31" t="str">
        <f>IF(R34="","",SUBSTITUTE(LEFT(R34,FIND(" ",R34)-1),"-",""))</f>
        <v/>
      </c>
      <c r="V31" t="str">
        <f>IF(R34="","",IFERROR(IFERROR(VALUE(SUBSTITUTE(MID(R34,FIND(" ",R34),FIND("/",R34)-FIND(" ",R34))," ","")),IF(FIND("B",UPPER(R34)),VALUE(MID(R34,FIND(" ",R34),FIND("B",UPPER(R34))-FIND(" ",R34))),"")),""))</f>
        <v/>
      </c>
      <c r="W31" t="str">
        <f>IF(R34="","",IFERROR(IFERROR(VALUE(SUBSTITUTE(RIGHT(R34,LEN(R34)-FIND("/",R34))," ","")),IF(FIND("O",UPPER(R34)),VALUE(MID(R34,FIND(" ",R34),FIND("O",UPPER(R34))-FIND(" ",R34))),"")),""))</f>
        <v/>
      </c>
      <c r="AQ31" s="63"/>
    </row>
    <row r="32" spans="1:43" ht="15" customHeight="1" thickBot="1" x14ac:dyDescent="0.3">
      <c r="C32" s="37" t="str">
        <f>IF(B32="","",SUBSTITUTE(LEFT(B32,FIND(" ",B32)-1),"-",""))</f>
        <v/>
      </c>
      <c r="D32" s="37"/>
      <c r="E32" s="37"/>
      <c r="F32" s="37"/>
      <c r="G32" s="37"/>
      <c r="H32" s="38"/>
      <c r="I32" s="39" t="str">
        <f>IF(A33="BNP","Ton feedback Hugo",IF(A33="JP","Ton feedback Tomasz",IF(A33="Barc","Your feedback Nathaniel",IF(A33="GS","Your feedback Ken-Ji",""))))</f>
        <v>Ton feedback Tomasz</v>
      </c>
      <c r="J32" s="8" t="str">
        <f>I32</f>
        <v>Ton feedback Tomasz</v>
      </c>
      <c r="M32" s="134"/>
      <c r="R32" s="113"/>
      <c r="S32" s="108" t="s">
        <v>36</v>
      </c>
      <c r="U32" s="1"/>
      <c r="W32" s="2"/>
      <c r="AQ32" s="63"/>
    </row>
    <row r="33" spans="1:43" ht="15" customHeight="1" thickBot="1" x14ac:dyDescent="0.3">
      <c r="A33" s="32" t="s">
        <v>17</v>
      </c>
      <c r="B33" s="128" t="s">
        <v>139</v>
      </c>
      <c r="C33" s="40" t="str">
        <f>IF(B33="","",SUBSTITUTE(LEFT(B33,FIND(" ",B33)-1),"-",""))</f>
        <v>SX5E</v>
      </c>
      <c r="D33" s="40" t="str">
        <f t="shared" ref="D33:D44" si="47">IF(B33="","",IFERROR(IFERROR(VALUE(SUBSTITUTE(MID(B33,FIND(" ",B33),FIND("/",B33)-FIND(" ",B33))," ","")),IF(FIND("B",UPPER(B33)),VALUE(MID(B33,FIND(" ",B33),FIND("B",UPPER(B33))-FIND(" ",B33))),"")),""))</f>
        <v/>
      </c>
      <c r="E33" s="40" t="str">
        <f t="shared" ref="E33:E44" si="48">IF(B33="","",IFERROR(IFERROR(VALUE(SUBSTITUTE(RIGHT(B33,LEN(B33)-FIND("/",B33))," ","")),IF(FIND("O",UPPER(B33)),VALUE(MID(B33,FIND(" ",B33),FIND("O",UPPER(B33))-FIND(" ",B33))),"")),""))</f>
        <v/>
      </c>
      <c r="F33" s="41">
        <f>IF(B33="","",VALUE(SUBSTITUTE(SUBSTITUTE(SUBSTITUTE(SUBSTITUTE(SUBSTITUTE(RIGHT(B33,LEN(B33)-FIND("vs",B33)+1),"basis",""),"vs.","")," ",""),":",""),"vs","")))</f>
        <v>6</v>
      </c>
      <c r="G33" s="42" t="s">
        <v>13</v>
      </c>
      <c r="H33" s="43" t="s">
        <v>14</v>
      </c>
      <c r="I33" s="6" t="str">
        <f>B33</f>
        <v>SX5E TRF vs 6</v>
      </c>
      <c r="J33" s="6" t="str">
        <f>B33</f>
        <v>SX5E TRF vs 6</v>
      </c>
      <c r="M33" s="134"/>
      <c r="R33" s="68"/>
      <c r="S33" s="110" t="str">
        <f>IF(V30&lt;D33,"Better Bid",IF(V30&gt;D33,"Worse bid","")) &amp; " " &amp; IF(W30&gt;E33,"Better offer",IF(W30&lt;E33,"Worse offer",""))</f>
        <v xml:space="preserve"> </v>
      </c>
      <c r="U33" s="44" t="str">
        <f t="shared" ref="U33:U44" si="49">IF(R33="","",SUBSTITUTE(LEFT(R33,FIND(" ",R33)-1),"-",""))</f>
        <v/>
      </c>
      <c r="V33" s="12" t="str">
        <f t="shared" ref="V33:V44" si="50">IF(R33="","",IFERROR(IFERROR(VALUE(SUBSTITUTE(MID(R33,FIND(" ",R33),FIND("/",R33)-FIND(" ",R33))," ","")),IF(FIND("B",UPPER(R33)),VALUE(MID(R33,FIND(" ",R33),FIND("B",UPPER(R33))-FIND(" ",R33))),"")),""))</f>
        <v/>
      </c>
      <c r="W33" s="14" t="str">
        <f t="shared" ref="W33:W44" si="51">IF(R33="","",IFERROR(IFERROR(VALUE(SUBSTITUTE(RIGHT(R33,LEN(R33)-FIND("/",R33))," ","")),IF(FIND("O",UPPER(R33)),VALUE(MID(R33,FIND(" ",R33),FIND("O",UPPER(R33))-FIND(" ",R33))),"")),""))</f>
        <v/>
      </c>
      <c r="AQ33" s="63"/>
    </row>
    <row r="34" spans="1:43" ht="15" customHeight="1" x14ac:dyDescent="0.25">
      <c r="A34" t="str">
        <f t="shared" ref="A34:A46" si="52">IF(B34="","",IF(A33="",IF(A32="","",A32),A33))</f>
        <v/>
      </c>
      <c r="C34" s="36" t="str">
        <f>IF(B34="","",SUBSTITUTE(LEFT(B34,FIND(" ",B34)-1),"-",""))</f>
        <v/>
      </c>
      <c r="D34" t="str">
        <f t="shared" si="47"/>
        <v/>
      </c>
      <c r="E34" t="str">
        <f t="shared" si="48"/>
        <v/>
      </c>
      <c r="F34" s="2" t="str">
        <f t="shared" ref="F34:F44" si="53">IF(B34="","",IF(F33="",IF(F32="","",F32),F33))</f>
        <v/>
      </c>
      <c r="H34" s="44" t="str">
        <f t="shared" ref="H34:H44" si="54">IFERROR(IF(B34="","",IF(D34=INDEX(N:N,MATCH(C34,M:M,0)),"",INDEX(N:N,MATCH(C34,M:M,0))&amp; " bid")&amp;IF(E34=INDEX(O:O,MATCH(C34,M:M,0)),"",IF(D34=INDEX(N:N,MATCH(C34,M:M,0)),INDEX(O:O,MATCH(C34,M:M,0))&amp;" offer"," / "&amp;INDEX(O:O,MATCH(C34,M:M,0))&amp;" offer"))),"")</f>
        <v/>
      </c>
      <c r="I34" s="6" t="str">
        <f>IF(A34="JP",IF(B34="","",IF(H34="",B34,B34&amp;" -&gt; "&amp;H34)),IF(B34="","",IF(G34="",B34,B34&amp;" -&gt; "&amp;G34)))</f>
        <v/>
      </c>
      <c r="J34" s="6" t="str">
        <f t="shared" ref="J34:J46" si="55">IF(B34="","",IF(H34="",B34,B34&amp;" -&gt; "&amp;H34))</f>
        <v/>
      </c>
      <c r="M34" s="134"/>
      <c r="R34" s="109"/>
      <c r="S34" s="110" t="str">
        <f t="shared" ref="S34" si="56">IF(V31&lt;D34, "Better Bid | ",IF(V31&gt;D34,"Worse bid | ","")) &amp; IF(W31&gt;E34,"Better offer",IF(W31&lt;E34,"Worse offer",""))</f>
        <v/>
      </c>
      <c r="U34" s="1" t="str">
        <f t="shared" si="49"/>
        <v/>
      </c>
      <c r="V34" t="str">
        <f t="shared" si="50"/>
        <v/>
      </c>
      <c r="W34" s="2" t="str">
        <f t="shared" si="51"/>
        <v/>
      </c>
      <c r="AQ34" s="63"/>
    </row>
    <row r="35" spans="1:43" ht="15" customHeight="1" x14ac:dyDescent="0.25">
      <c r="A35" t="str">
        <f t="shared" si="52"/>
        <v>JP</v>
      </c>
      <c r="B35" s="34" t="s">
        <v>140</v>
      </c>
      <c r="C35" s="36" t="str">
        <f t="shared" ref="C35:C43" si="57">IF(B35="","",SUBSTITUTE(SUBSTITUTE(LEFT(B35,FIND(" ",B35)-1),"-",""),":",""))</f>
        <v>Mar23</v>
      </c>
      <c r="D35">
        <f t="shared" si="47"/>
        <v>-9</v>
      </c>
      <c r="E35">
        <f t="shared" si="48"/>
        <v>0</v>
      </c>
      <c r="F35" s="2">
        <f t="shared" si="53"/>
        <v>6</v>
      </c>
      <c r="G35" s="6" t="str">
        <f t="shared" ref="G35:G44" si="58">IFERROR(IF(B35="","",IF(D35=INDEX(N:N,MATCH(C35,M:M,0)),"best bid "&amp;IF(LEFT(INDEX(P:P,MATCH(C35,M:M,0)),1)-1=0,"","("&amp;LEFT(INDEX(P:P,MATCH(C35,M:M,0)),1)-1&amp;" with you)"),INDEX(N:N,MATCH(C35,M:M,0))&amp; " bid")&amp;" / "&amp;IF(E35=INDEX(O:O,MATCH(C35,M:M,0)),"best offer "&amp;IF(LEFT(INDEX(Q:Q,MATCH(C35,M:M,0)),1)-1=0,"","("&amp;LEFT(INDEX(Q:Q,MATCH(C35,M:M,0)),1)-1&amp;" with you)"),INDEX(O:O,MATCH(C35,M:M,0))&amp;" offer")),"")</f>
        <v xml:space="preserve">best bid  / best offer </v>
      </c>
      <c r="H35" s="1" t="str">
        <f t="shared" si="54"/>
        <v/>
      </c>
      <c r="I35" s="6" t="e">
        <f t="shared" ref="I35:I44" si="59">IF(B35="","",C35&amp;" "&amp;LEFT(T32,1)&amp;VLOOKUP(C35,$M$4:$O$13,2,FALSE)&amp;IF(D35&lt;&gt;VLOOKUP(C35,$M$4:$O$13,2,FALSE),"*","")&amp;RIGHT(T32,1)&amp;" / "&amp;LEFT(AQ32,1)&amp;VLOOKUP(C35,$M$4:$O$13,3,FALSE)&amp;IF(E35&lt;&gt;VLOOKUP(C35,$M$4:$O$13,3,FALSE),"*","")&amp;RIGHT(AQ32,1))</f>
        <v>#N/A</v>
      </c>
      <c r="J35" s="6" t="str">
        <f t="shared" si="55"/>
        <v>Mar23 -9/0</v>
      </c>
      <c r="K35" t="str">
        <f>IF(AND(D35=$N$4,COUNTIF(D:D,$N4)=1),"Best bid solo","") &amp; " " &amp; IF(AND(E35=$O4,COUNTIF(E:E,$O$4)=1),"Best offer solo","")</f>
        <v xml:space="preserve"> </v>
      </c>
      <c r="M35" s="134"/>
      <c r="R35" s="109"/>
      <c r="S35" s="110" t="str">
        <f>IF(V35&lt;D35, "Better Bid | ",IF(V35&gt;D35,"Worse bid | ","")) &amp; IF(W35&gt;E35,"Better offer",IF(W35&lt;E35,"Worse offer",""))</f>
        <v>Worse bid | Better offer</v>
      </c>
      <c r="U35" s="1" t="str">
        <f t="shared" si="49"/>
        <v/>
      </c>
      <c r="V35" t="str">
        <f t="shared" si="50"/>
        <v/>
      </c>
      <c r="W35" s="2" t="str">
        <f t="shared" si="51"/>
        <v/>
      </c>
      <c r="AQ35" s="63"/>
    </row>
    <row r="36" spans="1:43" ht="15" customHeight="1" x14ac:dyDescent="0.25">
      <c r="A36" t="str">
        <f t="shared" si="52"/>
        <v>JP</v>
      </c>
      <c r="B36" s="34" t="s">
        <v>141</v>
      </c>
      <c r="C36" s="36" t="str">
        <f t="shared" si="57"/>
        <v>Jun23</v>
      </c>
      <c r="D36">
        <f t="shared" si="47"/>
        <v>43</v>
      </c>
      <c r="E36">
        <f t="shared" si="48"/>
        <v>48</v>
      </c>
      <c r="F36" s="2">
        <f t="shared" si="53"/>
        <v>6</v>
      </c>
      <c r="G36" s="6" t="str">
        <f t="shared" si="58"/>
        <v xml:space="preserve"> bid /  offer</v>
      </c>
      <c r="H36" s="1" t="str">
        <f t="shared" si="54"/>
        <v xml:space="preserve"> bid /  offer</v>
      </c>
      <c r="I36" s="6" t="str">
        <f t="shared" si="59"/>
        <v>Jun23 * / *</v>
      </c>
      <c r="J36" s="6" t="str">
        <f t="shared" si="55"/>
        <v>Jun23  43/48 -&gt;  bid /  offer</v>
      </c>
      <c r="K36" t="str">
        <f t="shared" ref="K36:K43" si="60">IF(AND(D36=$N5,COUNTIF(D:D,$N5)=1),"Best bid solo","") &amp; " " &amp; IF(AND(E36=$O5,COUNTIF(E:E,$O5)=1),"Best offer solo","")</f>
        <v xml:space="preserve"> </v>
      </c>
      <c r="M36" s="134"/>
      <c r="R36" s="109"/>
      <c r="S36" s="110" t="str">
        <f t="shared" ref="S36:S43" si="61">IF(V36&lt;D36, "Better Bid | ",IF(V36&gt;D36,"Worse bid | ","")) &amp; IF(W36&gt;E36,"Better offer",IF(W36&lt;E36,"Worse offer",""))</f>
        <v>Worse bid | Better offer</v>
      </c>
      <c r="U36" s="1" t="str">
        <f t="shared" si="49"/>
        <v/>
      </c>
      <c r="V36" t="str">
        <f t="shared" si="50"/>
        <v/>
      </c>
      <c r="W36" s="2" t="str">
        <f t="shared" si="51"/>
        <v/>
      </c>
      <c r="AQ36" s="63"/>
    </row>
    <row r="37" spans="1:43" ht="15" customHeight="1" x14ac:dyDescent="0.25">
      <c r="A37" t="str">
        <f t="shared" si="52"/>
        <v>JP</v>
      </c>
      <c r="B37" s="34" t="s">
        <v>142</v>
      </c>
      <c r="C37" s="36" t="str">
        <f t="shared" si="57"/>
        <v>Dec23</v>
      </c>
      <c r="D37">
        <f t="shared" si="47"/>
        <v>17</v>
      </c>
      <c r="E37">
        <f t="shared" si="48"/>
        <v>18.5</v>
      </c>
      <c r="F37" s="2">
        <f t="shared" si="53"/>
        <v>6</v>
      </c>
      <c r="G37" s="6" t="str">
        <f t="shared" si="58"/>
        <v>best bid  / best offer (1 with you)</v>
      </c>
      <c r="H37" s="1" t="str">
        <f t="shared" si="54"/>
        <v/>
      </c>
      <c r="I37" s="6" t="str">
        <f t="shared" si="59"/>
        <v>Dec23 17 / 18.5</v>
      </c>
      <c r="J37" s="6" t="str">
        <f t="shared" si="55"/>
        <v>Dec23 17/18.5</v>
      </c>
      <c r="K37" t="str">
        <f t="shared" si="60"/>
        <v xml:space="preserve"> </v>
      </c>
      <c r="M37" s="134"/>
      <c r="R37" s="109"/>
      <c r="S37" s="110" t="str">
        <f t="shared" si="61"/>
        <v>Worse bid | Better offer</v>
      </c>
      <c r="U37" s="1" t="str">
        <f t="shared" si="49"/>
        <v/>
      </c>
      <c r="V37" t="str">
        <f t="shared" si="50"/>
        <v/>
      </c>
      <c r="W37" s="2" t="str">
        <f t="shared" si="51"/>
        <v/>
      </c>
      <c r="AQ37" s="63"/>
    </row>
    <row r="38" spans="1:43" ht="15" customHeight="1" x14ac:dyDescent="0.25">
      <c r="A38" t="str">
        <f t="shared" si="52"/>
        <v>JP</v>
      </c>
      <c r="B38" s="34" t="s">
        <v>73</v>
      </c>
      <c r="C38" s="36" t="str">
        <f t="shared" si="57"/>
        <v>Dec24</v>
      </c>
      <c r="D38">
        <f t="shared" si="47"/>
        <v>22</v>
      </c>
      <c r="E38">
        <f t="shared" si="48"/>
        <v>24</v>
      </c>
      <c r="F38" s="2">
        <f t="shared" si="53"/>
        <v>6</v>
      </c>
      <c r="G38" s="6" t="str">
        <f t="shared" si="58"/>
        <v>best bid  / 23.5 offer</v>
      </c>
      <c r="H38" s="1" t="str">
        <f t="shared" si="54"/>
        <v>23.5 offer</v>
      </c>
      <c r="I38" s="6" t="str">
        <f t="shared" si="59"/>
        <v>Dec24 22 / 23.5*</v>
      </c>
      <c r="J38" s="6" t="str">
        <f t="shared" si="55"/>
        <v>Dec24 22/24 -&gt; 23.5 offer</v>
      </c>
      <c r="K38" t="str">
        <f t="shared" si="60"/>
        <v xml:space="preserve"> </v>
      </c>
      <c r="M38" s="134"/>
      <c r="R38" s="109"/>
      <c r="S38" s="110" t="str">
        <f t="shared" si="61"/>
        <v>Worse bid | Better offer</v>
      </c>
      <c r="U38" s="1" t="str">
        <f t="shared" si="49"/>
        <v/>
      </c>
      <c r="V38" t="str">
        <f t="shared" si="50"/>
        <v/>
      </c>
      <c r="W38" s="2" t="str">
        <f t="shared" si="51"/>
        <v/>
      </c>
      <c r="AQ38" s="63"/>
    </row>
    <row r="39" spans="1:43" ht="15" customHeight="1" x14ac:dyDescent="0.25">
      <c r="A39" t="str">
        <f t="shared" si="52"/>
        <v>JP</v>
      </c>
      <c r="B39" s="34" t="s">
        <v>143</v>
      </c>
      <c r="C39" s="36" t="str">
        <f t="shared" si="57"/>
        <v>Dec25</v>
      </c>
      <c r="D39">
        <f t="shared" si="47"/>
        <v>27.5</v>
      </c>
      <c r="E39">
        <f t="shared" si="48"/>
        <v>29.5</v>
      </c>
      <c r="F39" s="2">
        <f t="shared" si="53"/>
        <v>6</v>
      </c>
      <c r="G39" s="6" t="str">
        <f t="shared" si="58"/>
        <v>best bid (2 with you) / best offer (2 with you)</v>
      </c>
      <c r="H39" s="1" t="str">
        <f t="shared" si="54"/>
        <v/>
      </c>
      <c r="I39" s="6" t="str">
        <f t="shared" si="59"/>
        <v>Dec25 27.5 / 29.5</v>
      </c>
      <c r="J39" s="6" t="str">
        <f t="shared" si="55"/>
        <v>Dec25 27.5/29.5</v>
      </c>
      <c r="K39" t="str">
        <f t="shared" si="60"/>
        <v xml:space="preserve"> </v>
      </c>
      <c r="M39" s="134"/>
      <c r="R39" s="109"/>
      <c r="S39" s="110" t="str">
        <f t="shared" si="61"/>
        <v>Worse bid | Better offer</v>
      </c>
      <c r="U39" s="1" t="str">
        <f t="shared" si="49"/>
        <v/>
      </c>
      <c r="V39" t="str">
        <f t="shared" si="50"/>
        <v/>
      </c>
      <c r="W39" s="2" t="str">
        <f t="shared" si="51"/>
        <v/>
      </c>
      <c r="AQ39" s="63"/>
    </row>
    <row r="40" spans="1:43" ht="15" customHeight="1" x14ac:dyDescent="0.25">
      <c r="A40" t="str">
        <f t="shared" si="52"/>
        <v>JP</v>
      </c>
      <c r="B40" s="34" t="s">
        <v>144</v>
      </c>
      <c r="C40" s="36" t="str">
        <f t="shared" si="57"/>
        <v>Dec26</v>
      </c>
      <c r="D40">
        <f t="shared" si="47"/>
        <v>34</v>
      </c>
      <c r="E40">
        <f t="shared" si="48"/>
        <v>36</v>
      </c>
      <c r="F40" s="2">
        <f t="shared" si="53"/>
        <v>6</v>
      </c>
      <c r="G40" s="6" t="str">
        <f t="shared" si="58"/>
        <v>best bid (2 with you) / best offer (2 with you)</v>
      </c>
      <c r="H40" s="1" t="str">
        <f t="shared" si="54"/>
        <v/>
      </c>
      <c r="I40" s="6" t="str">
        <f t="shared" si="59"/>
        <v>Dec26 34 / 36</v>
      </c>
      <c r="J40" s="6" t="str">
        <f t="shared" si="55"/>
        <v>Dec26 34/36</v>
      </c>
      <c r="K40" t="str">
        <f t="shared" si="60"/>
        <v xml:space="preserve"> </v>
      </c>
      <c r="M40" s="134"/>
      <c r="R40" s="109"/>
      <c r="S40" s="110" t="str">
        <f t="shared" si="61"/>
        <v>Worse bid | Better offer</v>
      </c>
      <c r="U40" s="1" t="str">
        <f t="shared" si="49"/>
        <v/>
      </c>
      <c r="V40" t="str">
        <f t="shared" si="50"/>
        <v/>
      </c>
      <c r="W40" s="2" t="str">
        <f t="shared" si="51"/>
        <v/>
      </c>
      <c r="AQ40" s="63"/>
    </row>
    <row r="41" spans="1:43" ht="15" customHeight="1" x14ac:dyDescent="0.25">
      <c r="A41" t="str">
        <f t="shared" si="52"/>
        <v>JP</v>
      </c>
      <c r="B41" s="34" t="s">
        <v>145</v>
      </c>
      <c r="C41" s="36" t="str">
        <f t="shared" si="57"/>
        <v>Dec27</v>
      </c>
      <c r="D41">
        <f t="shared" si="47"/>
        <v>41</v>
      </c>
      <c r="E41">
        <f t="shared" si="48"/>
        <v>43</v>
      </c>
      <c r="F41" s="2">
        <f t="shared" si="53"/>
        <v>6</v>
      </c>
      <c r="G41" s="6" t="str">
        <f t="shared" si="58"/>
        <v>best bid (1 with you) / best offer (1 with you)</v>
      </c>
      <c r="H41" s="1" t="str">
        <f t="shared" si="54"/>
        <v/>
      </c>
      <c r="I41" s="6" t="str">
        <f t="shared" si="59"/>
        <v>Dec27 41 / 43</v>
      </c>
      <c r="J41" s="6" t="str">
        <f t="shared" si="55"/>
        <v>Dec27 41/43</v>
      </c>
      <c r="K41" t="str">
        <f t="shared" si="60"/>
        <v xml:space="preserve"> </v>
      </c>
      <c r="M41" s="134"/>
      <c r="R41" s="109"/>
      <c r="S41" s="110" t="str">
        <f t="shared" si="61"/>
        <v>Worse bid | Better offer</v>
      </c>
      <c r="U41" s="1" t="str">
        <f t="shared" si="49"/>
        <v/>
      </c>
      <c r="V41" t="str">
        <f t="shared" si="50"/>
        <v/>
      </c>
      <c r="W41" s="2" t="str">
        <f t="shared" si="51"/>
        <v/>
      </c>
      <c r="AQ41" s="63"/>
    </row>
    <row r="42" spans="1:43" x14ac:dyDescent="0.25">
      <c r="A42" t="str">
        <f t="shared" si="52"/>
        <v>JP</v>
      </c>
      <c r="B42" s="34" t="s">
        <v>146</v>
      </c>
      <c r="C42" s="36" t="str">
        <f t="shared" si="57"/>
        <v>Dec28</v>
      </c>
      <c r="D42">
        <f t="shared" si="47"/>
        <v>48</v>
      </c>
      <c r="E42">
        <f t="shared" si="48"/>
        <v>51</v>
      </c>
      <c r="F42" s="2">
        <f t="shared" si="53"/>
        <v>6</v>
      </c>
      <c r="G42" s="6" t="str">
        <f t="shared" si="58"/>
        <v>48.5 bid / 50 offer</v>
      </c>
      <c r="H42" s="1" t="str">
        <f t="shared" si="54"/>
        <v>48.5 bid / 50 offer</v>
      </c>
      <c r="I42" s="6" t="str">
        <f t="shared" si="59"/>
        <v>Dec28 48.5* / 50*</v>
      </c>
      <c r="J42" s="6" t="str">
        <f t="shared" si="55"/>
        <v>Dec28 48/51 -&gt; 48.5 bid / 50 offer</v>
      </c>
      <c r="K42" t="str">
        <f t="shared" si="60"/>
        <v xml:space="preserve"> </v>
      </c>
      <c r="R42" s="109"/>
      <c r="S42" s="110" t="str">
        <f t="shared" si="61"/>
        <v>Worse bid | Better offer</v>
      </c>
      <c r="U42" s="1" t="str">
        <f t="shared" si="49"/>
        <v/>
      </c>
      <c r="V42" t="str">
        <f t="shared" si="50"/>
        <v/>
      </c>
      <c r="W42" s="2" t="str">
        <f t="shared" si="51"/>
        <v/>
      </c>
      <c r="AQ42" s="63"/>
    </row>
    <row r="43" spans="1:43" x14ac:dyDescent="0.25">
      <c r="A43" t="str">
        <f t="shared" si="52"/>
        <v>JP</v>
      </c>
      <c r="B43" s="34" t="s">
        <v>147</v>
      </c>
      <c r="C43" s="36" t="str">
        <f t="shared" si="57"/>
        <v>Dec29</v>
      </c>
      <c r="D43">
        <f t="shared" si="47"/>
        <v>55</v>
      </c>
      <c r="E43">
        <f t="shared" si="48"/>
        <v>59</v>
      </c>
      <c r="F43" s="2">
        <f t="shared" si="53"/>
        <v>6</v>
      </c>
      <c r="G43" s="6" t="str">
        <f t="shared" si="58"/>
        <v>55.5 bid / 58 offer</v>
      </c>
      <c r="H43" s="1" t="str">
        <f t="shared" si="54"/>
        <v>55.5 bid / 58 offer</v>
      </c>
      <c r="I43" s="6" t="str">
        <f t="shared" si="59"/>
        <v>Dec29 55.5* / 58*</v>
      </c>
      <c r="J43" s="6" t="str">
        <f t="shared" si="55"/>
        <v>Dec29 55/59. -&gt; 55.5 bid / 58 offer</v>
      </c>
      <c r="K43" t="str">
        <f t="shared" si="60"/>
        <v xml:space="preserve"> </v>
      </c>
      <c r="R43" s="109"/>
      <c r="S43" s="110" t="str">
        <f t="shared" si="61"/>
        <v>Worse bid | Better offer</v>
      </c>
      <c r="U43" s="1" t="str">
        <f t="shared" si="49"/>
        <v/>
      </c>
      <c r="V43" t="str">
        <f t="shared" si="50"/>
        <v/>
      </c>
      <c r="W43" s="2" t="str">
        <f t="shared" si="51"/>
        <v/>
      </c>
      <c r="AQ43" s="63"/>
    </row>
    <row r="44" spans="1:43" ht="15.75" thickBot="1" x14ac:dyDescent="0.3">
      <c r="A44" s="3" t="str">
        <f t="shared" si="52"/>
        <v>JP</v>
      </c>
      <c r="B44" s="34" t="s">
        <v>148</v>
      </c>
      <c r="C44" s="37" t="str">
        <f>IF(B44="","",SUBSTITUTE(LEFT(B44,FIND(" ",B44)-1),"-",""))</f>
        <v>Dec30</v>
      </c>
      <c r="D44" s="4">
        <f t="shared" si="47"/>
        <v>63</v>
      </c>
      <c r="E44" s="4">
        <f t="shared" si="48"/>
        <v>69</v>
      </c>
      <c r="F44" s="5">
        <f t="shared" si="53"/>
        <v>6</v>
      </c>
      <c r="G44" s="7" t="str">
        <f t="shared" si="58"/>
        <v>63.5 bid / 66 offer</v>
      </c>
      <c r="H44" s="3" t="str">
        <f t="shared" si="54"/>
        <v>63.5 bid / 66 offer</v>
      </c>
      <c r="I44" s="7" t="str">
        <f t="shared" si="59"/>
        <v>Dec30 63.5* / 66*</v>
      </c>
      <c r="J44" s="7" t="str">
        <f t="shared" si="55"/>
        <v>Dec30 63/69 -&gt; 63.5 bid / 66 offer</v>
      </c>
      <c r="R44" s="114"/>
      <c r="S44" s="112"/>
      <c r="U44" s="1" t="str">
        <f t="shared" si="49"/>
        <v/>
      </c>
      <c r="V44" t="str">
        <f t="shared" si="50"/>
        <v/>
      </c>
      <c r="W44" s="2" t="str">
        <f t="shared" si="51"/>
        <v/>
      </c>
      <c r="AQ44" s="63"/>
    </row>
    <row r="45" spans="1:43" x14ac:dyDescent="0.25">
      <c r="A45" s="3" t="str">
        <f t="shared" si="52"/>
        <v>JP</v>
      </c>
      <c r="B45" s="34" t="s">
        <v>149</v>
      </c>
      <c r="C45" s="37" t="str">
        <f t="shared" ref="C45:C46" si="62">IF(B45="","",SUBSTITUTE(LEFT(B45,FIND(" ",B45)-1),"-",""))</f>
        <v>Dec31</v>
      </c>
      <c r="D45" s="4">
        <f t="shared" ref="D45:D46" si="63">IF(B45="","",IFERROR(IFERROR(VALUE(SUBSTITUTE(MID(B45,FIND(" ",B45),FIND("/",B45)-FIND(" ",B45))," ","")),IF(FIND("B",UPPER(B45)),VALUE(MID(B45,FIND(" ",B45),FIND("B",UPPER(B45))-FIND(" ",B45))),"")),""))</f>
        <v>70</v>
      </c>
      <c r="E45" s="4">
        <f t="shared" ref="E45:E46" si="64">IF(B45="","",IFERROR(IFERROR(VALUE(SUBSTITUTE(RIGHT(B45,LEN(B45)-FIND("/",B45))," ","")),IF(FIND("O",UPPER(B45)),VALUE(MID(B45,FIND(" ",B45),FIND("O",UPPER(B45))-FIND(" ",B45))),"")),""))</f>
        <v>77</v>
      </c>
      <c r="F45" s="5">
        <f t="shared" ref="F45:F46" si="65">IF(B45="","",IF(F44="",IF(F43="","",F43),F44))</f>
        <v>6</v>
      </c>
      <c r="G45" s="7" t="str">
        <f t="shared" ref="G45:G46" si="66">IFERROR(IF(B45="","",IF(D45=INDEX(N:N,MATCH(C45,M:M,0)),"best bid "&amp;IF(LEFT(INDEX(P:P,MATCH(C45,M:M,0)),1)-1=0,"","("&amp;LEFT(INDEX(P:P,MATCH(C45,M:M,0)),1)-1&amp;" with you)"),INDEX(N:N,MATCH(C45,M:M,0))&amp; " bid")&amp;" / "&amp;IF(E45=INDEX(O:O,MATCH(C45,M:M,0)),"best offer "&amp;IF(LEFT(INDEX(Q:Q,MATCH(C45,M:M,0)),1)-1=0,"","("&amp;LEFT(INDEX(Q:Q,MATCH(C45,M:M,0)),1)-1&amp;" with you)"),INDEX(O:O,MATCH(C45,M:M,0))&amp;" offer")),"")</f>
        <v>best bid (1 with you) / 74.5 offer</v>
      </c>
      <c r="H45" s="3" t="str">
        <f t="shared" ref="H45:H46" si="67">IFERROR(IF(B45="","",IF(D45=INDEX(N:N,MATCH(C45,M:M,0)),"",INDEX(N:N,MATCH(C45,M:M,0))&amp; " bid")&amp;IF(E45=INDEX(O:O,MATCH(C45,M:M,0)),"",IF(D45=INDEX(N:N,MATCH(C45,M:M,0)),INDEX(O:O,MATCH(C45,M:M,0))&amp;" offer"," / "&amp;INDEX(O:O,MATCH(C45,M:M,0))&amp;" offer"))),"")</f>
        <v>74.5 offer</v>
      </c>
      <c r="I45" s="7" t="str">
        <f t="shared" ref="I45:I46" si="68">IF(B45="","",C45&amp;" "&amp;LEFT(T42,1)&amp;VLOOKUP(C45,$M$4:$O$13,2,FALSE)&amp;IF(D45&lt;&gt;VLOOKUP(C45,$M$4:$O$13,2,FALSE),"*","")&amp;RIGHT(T42,1)&amp;" / "&amp;LEFT(AQ42,1)&amp;VLOOKUP(C45,$M$4:$O$13,3,FALSE)&amp;IF(E45&lt;&gt;VLOOKUP(C45,$M$4:$O$13,3,FALSE),"*","")&amp;RIGHT(AQ42,1))</f>
        <v>Dec31 70 / 74.5*</v>
      </c>
      <c r="J45" s="7" t="str">
        <f t="shared" si="55"/>
        <v>Dec31 70/77 -&gt; 74.5 offer</v>
      </c>
      <c r="U45" s="1"/>
      <c r="W45" s="2"/>
      <c r="AQ45" s="63"/>
    </row>
    <row r="46" spans="1:43" ht="15.75" thickBot="1" x14ac:dyDescent="0.3">
      <c r="A46" s="3" t="str">
        <f t="shared" si="52"/>
        <v>JP</v>
      </c>
      <c r="B46" s="124" t="s">
        <v>150</v>
      </c>
      <c r="C46" s="37" t="str">
        <f t="shared" si="62"/>
        <v>Dec32</v>
      </c>
      <c r="D46" s="4">
        <f t="shared" si="63"/>
        <v>76</v>
      </c>
      <c r="E46" s="4">
        <f t="shared" si="64"/>
        <v>83</v>
      </c>
      <c r="F46" s="5">
        <f t="shared" si="65"/>
        <v>6</v>
      </c>
      <c r="G46" s="7" t="str">
        <f t="shared" si="66"/>
        <v/>
      </c>
      <c r="H46" s="3" t="str">
        <f t="shared" si="67"/>
        <v/>
      </c>
      <c r="I46" s="7" t="e">
        <f t="shared" si="68"/>
        <v>#N/A</v>
      </c>
      <c r="J46" s="7" t="str">
        <f t="shared" si="55"/>
        <v>Dec32 76/83</v>
      </c>
      <c r="U46" s="1" t="str">
        <f t="shared" ref="U46:U49" si="69">IF(R52="","",SUBSTITUTE(LEFT(R52,FIND(" ",R52)-1),"-",""))</f>
        <v/>
      </c>
      <c r="V46" t="str">
        <f t="shared" ref="V46:V49" si="70">IF(R52="","",IFERROR(IFERROR(VALUE(SUBSTITUTE(MID(R52,FIND(" ",R52),FIND("/",R52)-FIND(" ",R52))," ","")),IF(FIND("B",UPPER(R52)),VALUE(MID(R52,FIND(" ",R52),FIND("B",UPPER(R52))-FIND(" ",R52))),"")),""))</f>
        <v/>
      </c>
      <c r="W46" s="2" t="str">
        <f t="shared" ref="W46:W49" si="71">IF(R52="","",IFERROR(IFERROR(VALUE(SUBSTITUTE(RIGHT(R52,LEN(R52)-FIND("/",R52))," ","")),IF(FIND("O",UPPER(R52)),VALUE(MID(R52,FIND(" ",R52),FIND("O",UPPER(R52))-FIND(" ",R52))),"")),""))</f>
        <v/>
      </c>
      <c r="AQ46" s="63"/>
    </row>
    <row r="47" spans="1:43" x14ac:dyDescent="0.25">
      <c r="C47" s="78" t="str">
        <f>IF(AND(C34&lt;&gt;"Jun23",C35&lt;&gt;"Jun23",C36&lt;&gt;"Jun23",B33&lt;&gt;""),"Jun23","")</f>
        <v/>
      </c>
      <c r="J47" s="7" t="str">
        <f>IF(C47&lt;&gt;"",C47&amp;" " &amp;VLOOKUP(C47,$M$3:$O$13,2,FALSE) &amp; " / " &amp; VLOOKUP(C47,$M$3:$O$13,3,FALSE),"")</f>
        <v/>
      </c>
      <c r="U47" s="1" t="str">
        <f t="shared" si="69"/>
        <v/>
      </c>
      <c r="V47" t="str">
        <f t="shared" si="70"/>
        <v/>
      </c>
      <c r="W47" s="2" t="str">
        <f t="shared" si="71"/>
        <v/>
      </c>
      <c r="AQ47" s="63"/>
    </row>
    <row r="48" spans="1:43" ht="15.75" thickBot="1" x14ac:dyDescent="0.3">
      <c r="U48" s="1" t="str">
        <f t="shared" si="69"/>
        <v/>
      </c>
      <c r="V48" t="str">
        <f t="shared" si="70"/>
        <v/>
      </c>
      <c r="W48" s="2" t="str">
        <f t="shared" si="71"/>
        <v/>
      </c>
      <c r="AQ48" s="63"/>
    </row>
    <row r="49" spans="1:43" x14ac:dyDescent="0.25">
      <c r="C49" s="37" t="str">
        <f>IF(B49="","",SUBSTITUTE(LEFT(B49,FIND(" ",B49)-1),"-",""))</f>
        <v/>
      </c>
      <c r="D49" s="37"/>
      <c r="E49" s="37"/>
      <c r="F49" s="37"/>
      <c r="G49" s="37"/>
      <c r="H49" s="38"/>
      <c r="I49" s="39" t="str">
        <f>IF(A50="BNP","Ton feedback Hugo",IF(A50="JP","Ton feedback Tomasz",IF(A50="Barc","Your feedback Nathaniel",IF(A50="GS","Your feedback Ken-Ji",""))))</f>
        <v>Your feedback Ken-Ji</v>
      </c>
      <c r="J49" s="8" t="str">
        <f>I49</f>
        <v>Your feedback Ken-Ji</v>
      </c>
      <c r="R49" s="113"/>
      <c r="S49" s="108" t="s">
        <v>36</v>
      </c>
      <c r="U49" s="1" t="str">
        <f t="shared" si="69"/>
        <v/>
      </c>
      <c r="V49" t="str">
        <f t="shared" si="70"/>
        <v/>
      </c>
      <c r="W49" s="2" t="str">
        <f t="shared" si="71"/>
        <v/>
      </c>
      <c r="AQ49" s="63"/>
    </row>
    <row r="50" spans="1:43" x14ac:dyDescent="0.25">
      <c r="A50" s="32" t="s">
        <v>19</v>
      </c>
      <c r="B50" s="106"/>
      <c r="C50" s="40" t="str">
        <f>IF(B50="","",SUBSTITUTE(LEFT(B50,FIND(" ",B50)-1),"-",""))</f>
        <v/>
      </c>
      <c r="D50" s="40" t="str">
        <f t="shared" ref="D50:D61" si="72">IF(B50="","",IFERROR(IFERROR(VALUE(SUBSTITUTE(MID(B50,FIND(" ",B50),FIND("/",B50)-FIND(" ",B50))," ","")),IF(FIND("B",UPPER(B50)),VALUE(MID(B50,FIND(" ",B50),FIND("B",UPPER(B50))-FIND(" ",B50))),"")),""))</f>
        <v/>
      </c>
      <c r="E50" s="40" t="str">
        <f t="shared" ref="E50:E61" si="73">IF(B50="","",IFERROR(IFERROR(VALUE(SUBSTITUTE(RIGHT(B50,LEN(B50)-FIND("/",B50))," ","")),IF(FIND("O",UPPER(B50)),VALUE(MID(B50,FIND(" ",B50),FIND("O",UPPER(B50))-FIND(" ",B50))),"")),""))</f>
        <v/>
      </c>
      <c r="F50" s="41" t="str">
        <f>IF(B50="","",VALUE(SUBSTITUTE(SUBSTITUTE(SUBSTITUTE(SUBSTITUTE(SUBSTITUTE(RIGHT(B50,LEN(B50)-FIND("vs",B50)+1),"basis",""),"vs.","")," ",""),":",""),"vs","")))</f>
        <v/>
      </c>
      <c r="G50" s="42" t="s">
        <v>13</v>
      </c>
      <c r="H50" s="43" t="s">
        <v>14</v>
      </c>
      <c r="I50" s="6">
        <f>B50</f>
        <v>0</v>
      </c>
      <c r="J50" s="6">
        <f>B50</f>
        <v>0</v>
      </c>
      <c r="R50" s="68"/>
      <c r="S50" s="110" t="str">
        <f>IF(V44&lt;D50,"Better Bid",IF(V44&gt;D50,"Worse bid","")) &amp; " " &amp; IF(W44&gt;E50,"Better offer",IF(W44&lt;E50,"Worse offer",""))</f>
        <v xml:space="preserve"> </v>
      </c>
      <c r="U50" s="44" t="str">
        <f t="shared" ref="U50:U60" si="74">IF(R50="","",SUBSTITUTE(LEFT(R50,FIND(" ",R50)-1),"-",""))</f>
        <v/>
      </c>
      <c r="V50" s="12" t="str">
        <f t="shared" ref="V50:V60" si="75">IF(R50="","",IFERROR(IFERROR(VALUE(SUBSTITUTE(MID(R50,FIND(" ",R50),FIND("/",R50)-FIND(" ",R50))," ","")),IF(FIND("B",UPPER(R50)),VALUE(MID(R50,FIND(" ",R50),FIND("B",UPPER(R50))-FIND(" ",R50))),"")),""))</f>
        <v/>
      </c>
      <c r="W50" s="14" t="str">
        <f t="shared" ref="W50:W60" si="76">IF(R50="","",IFERROR(IFERROR(VALUE(SUBSTITUTE(RIGHT(R50,LEN(R50)-FIND("/",R50))," ","")),IF(FIND("O",UPPER(R50)),VALUE(MID(R50,FIND(" ",R50),FIND("O",UPPER(R50))-FIND(" ",R50))),"")),""))</f>
        <v/>
      </c>
      <c r="AQ50" s="63"/>
    </row>
    <row r="51" spans="1:43" x14ac:dyDescent="0.25">
      <c r="A51" t="str">
        <f t="shared" ref="A51:A61" si="77">IF(B51="","",IF(A50="",IF(A49="","",A49),A50))</f>
        <v/>
      </c>
      <c r="B51" s="34"/>
      <c r="C51" s="36" t="str">
        <f>IF(B51="","",SUBSTITUTE(LEFT(B51,FIND(" ",B51)-1),"-",""))</f>
        <v/>
      </c>
      <c r="D51" t="str">
        <f t="shared" si="72"/>
        <v/>
      </c>
      <c r="E51" t="str">
        <f t="shared" si="73"/>
        <v/>
      </c>
      <c r="F51" s="2" t="str">
        <f t="shared" ref="F51:F61" si="78">IF(B51="","",IF(F50="",IF(F49="","",F49),F50))</f>
        <v/>
      </c>
      <c r="H51" s="44" t="str">
        <f t="shared" ref="H51:H61" si="79">IFERROR(IF(B51="","",IF(D51=INDEX(N:N,MATCH(C51,M:M,0)),"",INDEX(N:N,MATCH(C51,M:M,0))&amp; " bid")&amp;IF(E51=INDEX(O:O,MATCH(C51,M:M,0)),"",IF(D51=INDEX(N:N,MATCH(C51,M:M,0)),INDEX(O:O,MATCH(C51,M:M,0))&amp;" offer"," / "&amp;INDEX(O:O,MATCH(C51,M:M,0))&amp;" offer"))),"")</f>
        <v/>
      </c>
      <c r="I51" s="6" t="str">
        <f>IF(A51="JP",IF(B51="","",IF(H51="",B51,B51&amp;" -&gt; "&amp;H51)),IF(B51="","",IF(G51="",B51,B51&amp;" -&gt; "&amp;G51)))</f>
        <v/>
      </c>
      <c r="J51" s="6" t="str">
        <f t="shared" ref="J51:J60" si="80">IF(B51="","",IF(H51="",B51,B51&amp;" -&gt; "&amp;H51))</f>
        <v/>
      </c>
      <c r="R51" s="109"/>
      <c r="S51" s="110" t="str">
        <f t="shared" ref="S51:S61" si="81">IF(V45&lt;D51, "Better Bid | ",IF(V45&gt;D51,"Worse bid | ","")) &amp; IF(W45&gt;E51,"Better offer",IF(W45&lt;E51,"Worse offer",""))</f>
        <v/>
      </c>
      <c r="U51" s="1" t="str">
        <f t="shared" si="74"/>
        <v/>
      </c>
      <c r="V51" t="str">
        <f t="shared" si="75"/>
        <v/>
      </c>
      <c r="W51" s="2" t="str">
        <f t="shared" si="76"/>
        <v/>
      </c>
      <c r="AQ51" s="63"/>
    </row>
    <row r="52" spans="1:43" x14ac:dyDescent="0.25">
      <c r="A52" t="str">
        <f t="shared" si="77"/>
        <v/>
      </c>
      <c r="B52" s="34"/>
      <c r="C52" s="36" t="str">
        <f t="shared" ref="C52:C60" si="82">IF(B52="","",SUBSTITUTE(SUBSTITUTE(LEFT(B52,FIND(" ",B52)-1),"-",""),":",""))</f>
        <v/>
      </c>
      <c r="D52" t="str">
        <f t="shared" si="72"/>
        <v/>
      </c>
      <c r="E52" t="str">
        <f t="shared" si="73"/>
        <v/>
      </c>
      <c r="F52" s="2" t="str">
        <f t="shared" si="78"/>
        <v/>
      </c>
      <c r="G52" s="6" t="str">
        <f t="shared" ref="G52:G61" si="83">IFERROR(IF(B52="","",IF(D52=INDEX(N:N,MATCH(C52,M:M,0)),"best bid "&amp;IF(LEFT(INDEX(P:P,MATCH(C52,M:M,0)),1)-1=0,"","("&amp;LEFT(INDEX(P:P,MATCH(C52,M:M,0)),1)-1&amp;" with you)"),INDEX(N:N,MATCH(C52,M:M,0))&amp; " bid")&amp;" / "&amp;IF(E52=INDEX(O:O,MATCH(C52,M:M,0)),"best offer "&amp;IF(LEFT(INDEX(Q:Q,MATCH(C52,M:M,0)),1)-1=0,"","("&amp;LEFT(INDEX(Q:Q,MATCH(C52,M:M,0)),1)-1&amp;" with you)"),INDEX(O:O,MATCH(C52,M:M,0))&amp;" offer")),"")</f>
        <v/>
      </c>
      <c r="H52" s="1" t="str">
        <f t="shared" si="79"/>
        <v/>
      </c>
      <c r="I52" s="6" t="str">
        <f t="shared" ref="I52:I60" si="84">IF(B52="","",C52&amp;" "&amp;LEFT(T46,1)&amp;VLOOKUP(C52,$M$4:$O$13,2,FALSE)&amp;IF(D52&lt;&gt;VLOOKUP(C52,$M$4:$O$13,2,FALSE),"*","")&amp;RIGHT(T46,1)&amp;" / "&amp;LEFT(AQ46,1)&amp;VLOOKUP(C52,$M$4:$O$13,3,FALSE)&amp;IF(E52&lt;&gt;VLOOKUP(C52,$M$4:$O$13,3,FALSE),"*","")&amp;RIGHT(AQ46,1))</f>
        <v/>
      </c>
      <c r="J52" s="6" t="str">
        <f t="shared" si="80"/>
        <v/>
      </c>
      <c r="K52" t="str">
        <f>IF(AND(D52=$N4,COUNTIF(D:D,$N4)=1),"Best bid solo","") &amp; " " &amp; IF(AND(E52=$O4,COUNTIF(E:E,$O4)=1),"Best offer solo","")</f>
        <v xml:space="preserve"> </v>
      </c>
      <c r="R52" s="109"/>
      <c r="S52" s="110" t="str">
        <f>IF(V52&lt;D52, "Better Bid | ",IF(V52&gt;D52,"Worse bid | ","")) &amp; IF(W52&gt;E52,"Better offer",IF(W52&lt;E52,"Worse offer",""))</f>
        <v/>
      </c>
      <c r="U52" s="1" t="str">
        <f t="shared" si="74"/>
        <v/>
      </c>
      <c r="V52" t="str">
        <f t="shared" si="75"/>
        <v/>
      </c>
      <c r="W52" s="2" t="str">
        <f t="shared" si="76"/>
        <v/>
      </c>
      <c r="AQ52" s="63"/>
    </row>
    <row r="53" spans="1:43" x14ac:dyDescent="0.25">
      <c r="A53" t="str">
        <f t="shared" si="77"/>
        <v/>
      </c>
      <c r="B53" s="34"/>
      <c r="C53" s="36" t="str">
        <f t="shared" si="82"/>
        <v/>
      </c>
      <c r="D53" t="str">
        <f t="shared" si="72"/>
        <v/>
      </c>
      <c r="E53" t="str">
        <f t="shared" si="73"/>
        <v/>
      </c>
      <c r="F53" s="2" t="str">
        <f t="shared" si="78"/>
        <v/>
      </c>
      <c r="G53" s="6" t="str">
        <f t="shared" si="83"/>
        <v/>
      </c>
      <c r="H53" s="1" t="str">
        <f t="shared" si="79"/>
        <v/>
      </c>
      <c r="I53" s="6" t="str">
        <f t="shared" si="84"/>
        <v/>
      </c>
      <c r="J53" s="6" t="str">
        <f t="shared" si="80"/>
        <v/>
      </c>
      <c r="K53" t="str">
        <f t="shared" ref="K53:K61" si="85">IF(AND(D53=$N5,COUNTIF(D:D,$N5)=1),"Best bid solo","") &amp; " " &amp; IF(AND(E53=$O5,COUNTIF(E:E,$O5)=1),"Best offer solo","")</f>
        <v xml:space="preserve"> </v>
      </c>
      <c r="R53" s="109"/>
      <c r="S53" s="110" t="str">
        <f t="shared" ref="S53:S60" si="86">IF(V53&lt;D53, "Better Bid | ",IF(V53&gt;D53,"Worse bid | ","")) &amp; IF(W53&gt;E53,"Better offer",IF(W53&lt;E53,"Worse offer",""))</f>
        <v/>
      </c>
      <c r="U53" s="1" t="str">
        <f t="shared" si="74"/>
        <v/>
      </c>
      <c r="V53" t="str">
        <f t="shared" si="75"/>
        <v/>
      </c>
      <c r="W53" s="2" t="str">
        <f t="shared" si="76"/>
        <v/>
      </c>
      <c r="AQ53" s="63"/>
    </row>
    <row r="54" spans="1:43" x14ac:dyDescent="0.25">
      <c r="A54" t="str">
        <f t="shared" si="77"/>
        <v/>
      </c>
      <c r="B54" s="34"/>
      <c r="C54" s="36" t="str">
        <f t="shared" si="82"/>
        <v/>
      </c>
      <c r="D54" t="str">
        <f t="shared" si="72"/>
        <v/>
      </c>
      <c r="E54" t="str">
        <f t="shared" si="73"/>
        <v/>
      </c>
      <c r="F54" s="2" t="str">
        <f t="shared" si="78"/>
        <v/>
      </c>
      <c r="G54" s="6" t="str">
        <f t="shared" si="83"/>
        <v/>
      </c>
      <c r="H54" s="1" t="str">
        <f t="shared" si="79"/>
        <v/>
      </c>
      <c r="I54" s="6" t="str">
        <f t="shared" si="84"/>
        <v/>
      </c>
      <c r="J54" s="6" t="str">
        <f t="shared" si="80"/>
        <v/>
      </c>
      <c r="K54" t="str">
        <f t="shared" si="85"/>
        <v xml:space="preserve"> </v>
      </c>
      <c r="R54" s="109"/>
      <c r="S54" s="110" t="str">
        <f t="shared" si="86"/>
        <v/>
      </c>
      <c r="U54" s="1" t="str">
        <f t="shared" si="74"/>
        <v/>
      </c>
      <c r="V54" t="str">
        <f t="shared" si="75"/>
        <v/>
      </c>
      <c r="W54" s="2" t="str">
        <f t="shared" si="76"/>
        <v/>
      </c>
      <c r="AQ54" s="63"/>
    </row>
    <row r="55" spans="1:43" x14ac:dyDescent="0.25">
      <c r="A55" t="str">
        <f t="shared" si="77"/>
        <v/>
      </c>
      <c r="B55" s="34"/>
      <c r="C55" s="36" t="str">
        <f t="shared" si="82"/>
        <v/>
      </c>
      <c r="D55" t="str">
        <f t="shared" si="72"/>
        <v/>
      </c>
      <c r="E55" t="str">
        <f t="shared" si="73"/>
        <v/>
      </c>
      <c r="F55" s="2" t="str">
        <f t="shared" si="78"/>
        <v/>
      </c>
      <c r="G55" s="6" t="str">
        <f t="shared" si="83"/>
        <v/>
      </c>
      <c r="H55" s="1" t="str">
        <f t="shared" si="79"/>
        <v/>
      </c>
      <c r="I55" s="6" t="str">
        <f t="shared" si="84"/>
        <v/>
      </c>
      <c r="J55" s="6" t="str">
        <f t="shared" si="80"/>
        <v/>
      </c>
      <c r="K55" t="str">
        <f t="shared" si="85"/>
        <v xml:space="preserve"> </v>
      </c>
      <c r="R55" s="109"/>
      <c r="S55" s="110" t="str">
        <f t="shared" si="86"/>
        <v/>
      </c>
      <c r="U55" s="1" t="str">
        <f t="shared" si="74"/>
        <v/>
      </c>
      <c r="V55" t="str">
        <f t="shared" si="75"/>
        <v/>
      </c>
      <c r="W55" s="2" t="str">
        <f t="shared" si="76"/>
        <v/>
      </c>
      <c r="AQ55" s="63"/>
    </row>
    <row r="56" spans="1:43" x14ac:dyDescent="0.25">
      <c r="A56" t="str">
        <f t="shared" si="77"/>
        <v/>
      </c>
      <c r="B56" s="34"/>
      <c r="C56" s="36" t="str">
        <f t="shared" si="82"/>
        <v/>
      </c>
      <c r="D56" t="str">
        <f t="shared" si="72"/>
        <v/>
      </c>
      <c r="E56" t="str">
        <f t="shared" si="73"/>
        <v/>
      </c>
      <c r="F56" s="2" t="str">
        <f t="shared" si="78"/>
        <v/>
      </c>
      <c r="G56" s="6" t="str">
        <f t="shared" si="83"/>
        <v/>
      </c>
      <c r="H56" s="1" t="str">
        <f t="shared" si="79"/>
        <v/>
      </c>
      <c r="I56" s="6" t="str">
        <f t="shared" si="84"/>
        <v/>
      </c>
      <c r="J56" s="6" t="str">
        <f t="shared" si="80"/>
        <v/>
      </c>
      <c r="K56" t="str">
        <f t="shared" si="85"/>
        <v xml:space="preserve"> </v>
      </c>
      <c r="R56" s="109"/>
      <c r="S56" s="110" t="str">
        <f t="shared" si="86"/>
        <v/>
      </c>
      <c r="U56" s="1" t="str">
        <f t="shared" si="74"/>
        <v/>
      </c>
      <c r="V56" t="str">
        <f t="shared" si="75"/>
        <v/>
      </c>
      <c r="W56" s="2" t="str">
        <f t="shared" si="76"/>
        <v/>
      </c>
      <c r="AQ56" s="63"/>
    </row>
    <row r="57" spans="1:43" x14ac:dyDescent="0.25">
      <c r="A57" t="str">
        <f t="shared" si="77"/>
        <v/>
      </c>
      <c r="B57" s="34"/>
      <c r="C57" s="36" t="str">
        <f t="shared" si="82"/>
        <v/>
      </c>
      <c r="D57" t="str">
        <f t="shared" si="72"/>
        <v/>
      </c>
      <c r="E57" t="str">
        <f t="shared" si="73"/>
        <v/>
      </c>
      <c r="F57" s="2" t="str">
        <f t="shared" si="78"/>
        <v/>
      </c>
      <c r="G57" s="6" t="str">
        <f t="shared" si="83"/>
        <v/>
      </c>
      <c r="H57" s="1" t="str">
        <f t="shared" si="79"/>
        <v/>
      </c>
      <c r="I57" s="6" t="str">
        <f t="shared" si="84"/>
        <v/>
      </c>
      <c r="J57" s="6" t="str">
        <f t="shared" si="80"/>
        <v/>
      </c>
      <c r="K57" t="str">
        <f t="shared" si="85"/>
        <v xml:space="preserve"> </v>
      </c>
      <c r="R57" s="109"/>
      <c r="S57" s="110" t="str">
        <f t="shared" si="86"/>
        <v/>
      </c>
      <c r="U57" s="1" t="str">
        <f t="shared" si="74"/>
        <v/>
      </c>
      <c r="V57" t="str">
        <f t="shared" si="75"/>
        <v/>
      </c>
      <c r="W57" s="2" t="str">
        <f t="shared" si="76"/>
        <v/>
      </c>
      <c r="AQ57" s="63"/>
    </row>
    <row r="58" spans="1:43" x14ac:dyDescent="0.25">
      <c r="A58" t="str">
        <f t="shared" si="77"/>
        <v/>
      </c>
      <c r="B58" s="34"/>
      <c r="C58" s="36" t="str">
        <f t="shared" si="82"/>
        <v/>
      </c>
      <c r="D58" t="str">
        <f t="shared" si="72"/>
        <v/>
      </c>
      <c r="E58" t="str">
        <f t="shared" si="73"/>
        <v/>
      </c>
      <c r="F58" s="2" t="str">
        <f t="shared" si="78"/>
        <v/>
      </c>
      <c r="G58" s="6" t="str">
        <f t="shared" si="83"/>
        <v/>
      </c>
      <c r="H58" s="1" t="str">
        <f t="shared" si="79"/>
        <v/>
      </c>
      <c r="I58" s="6" t="str">
        <f t="shared" si="84"/>
        <v/>
      </c>
      <c r="J58" s="6" t="str">
        <f t="shared" si="80"/>
        <v/>
      </c>
      <c r="K58" t="str">
        <f t="shared" si="85"/>
        <v xml:space="preserve"> </v>
      </c>
      <c r="R58" s="109"/>
      <c r="S58" s="110" t="str">
        <f t="shared" si="86"/>
        <v/>
      </c>
      <c r="U58" s="1" t="str">
        <f t="shared" si="74"/>
        <v/>
      </c>
      <c r="V58" t="str">
        <f t="shared" si="75"/>
        <v/>
      </c>
      <c r="W58" s="2" t="str">
        <f t="shared" si="76"/>
        <v/>
      </c>
      <c r="AQ58" s="63"/>
    </row>
    <row r="59" spans="1:43" x14ac:dyDescent="0.25">
      <c r="A59" t="str">
        <f t="shared" si="77"/>
        <v/>
      </c>
      <c r="B59" s="34"/>
      <c r="C59" s="36" t="str">
        <f t="shared" si="82"/>
        <v/>
      </c>
      <c r="D59" t="str">
        <f t="shared" si="72"/>
        <v/>
      </c>
      <c r="E59" t="str">
        <f t="shared" si="73"/>
        <v/>
      </c>
      <c r="F59" s="2" t="str">
        <f t="shared" si="78"/>
        <v/>
      </c>
      <c r="G59" s="6" t="str">
        <f t="shared" si="83"/>
        <v/>
      </c>
      <c r="H59" s="1" t="str">
        <f t="shared" si="79"/>
        <v/>
      </c>
      <c r="I59" s="6" t="str">
        <f t="shared" si="84"/>
        <v/>
      </c>
      <c r="J59" s="6" t="str">
        <f t="shared" si="80"/>
        <v/>
      </c>
      <c r="K59" t="str">
        <f t="shared" si="85"/>
        <v xml:space="preserve"> </v>
      </c>
      <c r="R59" s="109"/>
      <c r="S59" s="110" t="str">
        <f t="shared" si="86"/>
        <v/>
      </c>
      <c r="U59" s="1" t="str">
        <f t="shared" si="74"/>
        <v/>
      </c>
      <c r="V59" t="str">
        <f t="shared" si="75"/>
        <v/>
      </c>
      <c r="W59" s="2" t="str">
        <f t="shared" si="76"/>
        <v/>
      </c>
      <c r="AQ59" s="63"/>
    </row>
    <row r="60" spans="1:43" x14ac:dyDescent="0.25">
      <c r="A60" t="str">
        <f t="shared" si="77"/>
        <v/>
      </c>
      <c r="B60" s="34"/>
      <c r="C60" s="36" t="str">
        <f t="shared" si="82"/>
        <v/>
      </c>
      <c r="D60" t="str">
        <f t="shared" si="72"/>
        <v/>
      </c>
      <c r="E60" t="str">
        <f t="shared" si="73"/>
        <v/>
      </c>
      <c r="F60" s="2" t="str">
        <f t="shared" si="78"/>
        <v/>
      </c>
      <c r="G60" s="6" t="str">
        <f t="shared" si="83"/>
        <v/>
      </c>
      <c r="H60" s="1" t="str">
        <f t="shared" si="79"/>
        <v/>
      </c>
      <c r="I60" s="6" t="str">
        <f t="shared" si="84"/>
        <v/>
      </c>
      <c r="J60" s="6" t="str">
        <f t="shared" si="80"/>
        <v/>
      </c>
      <c r="K60" t="str">
        <f t="shared" si="85"/>
        <v xml:space="preserve"> </v>
      </c>
      <c r="R60" s="109"/>
      <c r="S60" s="110" t="str">
        <f t="shared" si="86"/>
        <v/>
      </c>
      <c r="U60" s="1" t="str">
        <f t="shared" si="74"/>
        <v/>
      </c>
      <c r="V60" t="str">
        <f t="shared" si="75"/>
        <v/>
      </c>
      <c r="W60" s="2" t="str">
        <f t="shared" si="76"/>
        <v/>
      </c>
      <c r="AQ60" s="63"/>
    </row>
    <row r="61" spans="1:43" ht="15.75" thickBot="1" x14ac:dyDescent="0.3">
      <c r="A61" s="3" t="str">
        <f t="shared" si="77"/>
        <v/>
      </c>
      <c r="B61" s="34"/>
      <c r="C61" s="37" t="str">
        <f>IF(B61="","",SUBSTITUTE(LEFT(B61,FIND(" ",B61)-1),"-",""))</f>
        <v/>
      </c>
      <c r="D61" s="4" t="str">
        <f t="shared" si="72"/>
        <v/>
      </c>
      <c r="E61" s="4" t="str">
        <f t="shared" si="73"/>
        <v/>
      </c>
      <c r="F61" s="5" t="str">
        <f t="shared" si="78"/>
        <v/>
      </c>
      <c r="G61" s="7" t="str">
        <f t="shared" si="83"/>
        <v/>
      </c>
      <c r="H61" s="3" t="str">
        <f t="shared" si="79"/>
        <v/>
      </c>
      <c r="I61" s="7" t="str">
        <f>IF(A61="JP",IF(B61="","",IF(H61="",B61,B61&amp;" -&gt; "&amp;H61)),IF(B61="","",IF(G61="",B61,B61&amp;" -&gt; "&amp;G61)))</f>
        <v/>
      </c>
      <c r="J61" s="7" t="str">
        <f>IF(A61&lt;&gt;"JP",IF(B62="","",IF(H61="",B62,B62&amp;" -&gt; "&amp;H61)),IF(B62="","",IF(G61="",B62,B62&amp;" -&gt; "&amp;G61)))</f>
        <v/>
      </c>
      <c r="K61" t="str">
        <f t="shared" si="85"/>
        <v xml:space="preserve"> </v>
      </c>
      <c r="R61" s="114"/>
      <c r="S61" s="112" t="str">
        <f t="shared" si="81"/>
        <v/>
      </c>
      <c r="AQ61" s="63"/>
    </row>
    <row r="62" spans="1:43" x14ac:dyDescent="0.25">
      <c r="B62" s="12"/>
      <c r="J62" s="79" t="str">
        <f>IF(OR(C63&lt;&gt;"",C64&lt;&gt;""),"Not in your run:","")</f>
        <v/>
      </c>
      <c r="S62" t="str">
        <f>IF(V56&lt;D63,"Better Bid",IF(V56&gt;D63,"Worse bid","")) &amp; " " &amp; IF(W56&gt;E63,"Better offer",IF(W56&lt;E63,"Worse offer",""))</f>
        <v xml:space="preserve"> </v>
      </c>
      <c r="AQ62" s="63"/>
    </row>
    <row r="63" spans="1:43" x14ac:dyDescent="0.25">
      <c r="C63" s="77" t="str">
        <f>IF(AND(C51&lt;&gt;"Mar23",C52&lt;&gt;"Mar23",C53&lt;&gt;"Mar23",B50&lt;&gt;""),"Mar23","")</f>
        <v/>
      </c>
      <c r="H63" t="str">
        <f>IFERROR(IF(#REF!="","",IF(D63=INDEX(N:N,MATCH(C63,M:M,0)),"you are best bid "&amp;IF(INDEX(P:P,MATCH(C63,M:M,0))-1=0,"","("&amp;INDEX(P:P,MATCH(C63,M:M,0))-1&amp;" with you)"),INDEX(N:N,MATCH(C63,M:M,0))&amp; " bid")&amp;" / "&amp;IF(E63=INDEX(O:O,MATCH(C63,M:M,0)),"you are best offer "&amp;IF(INDEX(Q:Q,MATCH(C63,M:M,0))-1=0,"","("&amp;INDEX(Q:Q,MATCH(C63,M:M,0))-1&amp;" with you)"),INDEX(O:O,MATCH(C63,M:M,0))&amp;" offer")),"")</f>
        <v/>
      </c>
      <c r="I63" t="str">
        <f>IFERROR(IF(H63="","",C63&amp;" "&amp;INDEX(N:N,MATCH(C63,M:M,0))&amp;" / "&amp;INDEX(O:O,MATCH(C63,M:M,0))&amp;" : "&amp;H63),#REF!)</f>
        <v/>
      </c>
      <c r="J63" s="6" t="str">
        <f>IF(C63&lt;&gt;"",C63&amp;" " &amp;VLOOKUP(C63,$M$3:$O$13,2,FALSE) &amp; " / " &amp; VLOOKUP(C63,$M$3:$O$13,3,FALSE),"")</f>
        <v/>
      </c>
      <c r="S63" t="str">
        <f>IF(V57&lt;D64,"Better Bid",IF(V57&gt;D64,"Worse bid","")) &amp; " " &amp; IF(W57&gt;E64,"Better offer",IF(W57&lt;E64,"Worse offer",""))</f>
        <v xml:space="preserve"> </v>
      </c>
      <c r="AQ63" s="63"/>
    </row>
    <row r="64" spans="1:43" x14ac:dyDescent="0.25">
      <c r="C64" s="78" t="str">
        <f>IF(AND(C51&lt;&gt;"Jun23",C52&lt;&gt;"Jun23",C53&lt;&gt;"Jun23",B50&lt;&gt;""),"Jun23","")</f>
        <v/>
      </c>
      <c r="H64" t="str">
        <f>IFERROR(IF(B63="","",IF(D64=INDEX(N:N,MATCH(C64,M:M,0)),"you are best bid "&amp;IF(INDEX(P:P,MATCH(C64,M:M,0))-1=0,"","("&amp;INDEX(P:P,MATCH(C64,M:M,0))-1&amp;" with you)"),INDEX(N:N,MATCH(C64,M:M,0))&amp; " bid")&amp;" / "&amp;IF(E64=INDEX(O:O,MATCH(C64,M:M,0)),"you are best offer "&amp;IF(INDEX(Q:Q,MATCH(C64,M:M,0))-1=0,"","("&amp;INDEX(Q:Q,MATCH(C64,M:M,0))-1&amp;" with you)"),INDEX(O:O,MATCH(C64,M:M,0))&amp;" offer")),"")</f>
        <v/>
      </c>
      <c r="I64" t="str">
        <f>IFERROR(IF(H64="","",C64&amp;" "&amp;INDEX(N:N,MATCH(C64,M:M,0))&amp;" / "&amp;INDEX(O:O,MATCH(C64,M:M,0))&amp;" : "&amp;H64),B63)</f>
        <v/>
      </c>
      <c r="J64" s="7" t="str">
        <f>IF(C64&lt;&gt;"",C64&amp;" " &amp;VLOOKUP(C64,$M$3:$O$13,2,FALSE) &amp; " / " &amp; VLOOKUP(C64,$M$3:$O$13,3,FALSE),"")</f>
        <v/>
      </c>
      <c r="AQ64" s="63"/>
    </row>
    <row r="65" spans="1:43" ht="15.75" thickBot="1" x14ac:dyDescent="0.3">
      <c r="AQ65" s="63"/>
    </row>
    <row r="66" spans="1:43" x14ac:dyDescent="0.25">
      <c r="C66" s="37" t="str">
        <f>IF(B66="","",SUBSTITUTE(LEFT(B66,FIND(" ",B66)-1),"-",""))</f>
        <v/>
      </c>
      <c r="D66" s="37"/>
      <c r="E66" s="37"/>
      <c r="F66" s="37"/>
      <c r="G66" s="37"/>
      <c r="H66" s="38"/>
      <c r="I66" s="39" t="str">
        <f>IF(A67="BNP","Ton feedback Hugo",IF(A67="JP","Ton feedback Tomasz",IF(A67="Barc","Your feedback Nathaniel",IF(A67="GS","Your feedback Ken-Ji",""))))</f>
        <v>Your feedback Nathaniel</v>
      </c>
      <c r="J66" s="8" t="str">
        <f>I66</f>
        <v>Your feedback Nathaniel</v>
      </c>
      <c r="R66" s="113"/>
      <c r="S66" s="108" t="s">
        <v>36</v>
      </c>
      <c r="AQ66" s="63"/>
    </row>
    <row r="67" spans="1:43" x14ac:dyDescent="0.25">
      <c r="A67" s="32" t="s">
        <v>37</v>
      </c>
      <c r="B67" s="106" t="s">
        <v>135</v>
      </c>
      <c r="C67" s="40" t="str">
        <f>IF(B67="","",SUBSTITUTE(LEFT(B67,FIND(" ",B67)-1),"-",""))</f>
        <v>SX5E</v>
      </c>
      <c r="D67" s="40" t="str">
        <f t="shared" ref="D67:D77" si="87">IF(B67="","",IFERROR(IFERROR(VALUE(SUBSTITUTE(MID(B67,FIND(" ",B67),FIND("/",B67)-FIND(" ",B67))," ","")),IF(FIND("B",UPPER(B67)),VALUE(MID(B67,FIND(" ",B67),FIND("B",UPPER(B67))-FIND(" ",B67))),"")),""))</f>
        <v/>
      </c>
      <c r="E67" s="40" t="str">
        <f t="shared" ref="E67:E77" si="88">IF(B67="","",IFERROR(IFERROR(VALUE(SUBSTITUTE(RIGHT(B67,LEN(B67)-FIND("/",B67))," ","")),IF(FIND("O",UPPER(B67)),VALUE(MID(B67,FIND(" ",B67),FIND("O",UPPER(B67))-FIND(" ",B67))),"")),""))</f>
        <v/>
      </c>
      <c r="F67" s="41">
        <f>IF(B67="","",VALUE(SUBSTITUTE(SUBSTITUTE(SUBSTITUTE(SUBSTITUTE(SUBSTITUTE(RIGHT(B67,LEN(B67)-FIND("vs",B67)+1),"basis",""),"vs.","")," ",""),":",""),"vs","")))</f>
        <v>6</v>
      </c>
      <c r="G67" s="42" t="s">
        <v>13</v>
      </c>
      <c r="H67" s="43" t="s">
        <v>14</v>
      </c>
      <c r="I67" s="6" t="str">
        <f>B67</f>
        <v>SX5E TRF vs. 6</v>
      </c>
      <c r="J67" s="6" t="str">
        <f>B67</f>
        <v>SX5E TRF vs. 6</v>
      </c>
      <c r="R67" s="68"/>
      <c r="S67" s="110" t="str">
        <f>IF(V59&lt;D67,"Better Bid",IF(V59&gt;D67,"Worse bid","")) &amp; " " &amp; IF(W59&gt;E67,"Better offer",IF(W59&lt;E67,"Worse offer",""))</f>
        <v xml:space="preserve"> </v>
      </c>
      <c r="U67" s="44" t="str">
        <f t="shared" ref="U67:U76" si="89">IF(R67="","",SUBSTITUTE(LEFT(R67,FIND(" ",R67)-1),"-",""))</f>
        <v/>
      </c>
      <c r="V67" s="12" t="str">
        <f t="shared" ref="V67:V76" si="90">IF(R67="","",IFERROR(IFERROR(VALUE(SUBSTITUTE(MID(R67,FIND(" ",R67),FIND("/",R67)-FIND(" ",R67))," ","")),IF(FIND("B",UPPER(R67)),VALUE(MID(R67,FIND(" ",R67),FIND("B",UPPER(R67))-FIND(" ",R67))),"")),""))</f>
        <v/>
      </c>
      <c r="W67" s="14" t="str">
        <f t="shared" ref="W67:W76" si="91">IF(R67="","",IFERROR(IFERROR(VALUE(SUBSTITUTE(RIGHT(R67,LEN(R67)-FIND("/",R67))," ","")),IF(FIND("O",UPPER(R67)),VALUE(MID(R67,FIND(" ",R67),FIND("O",UPPER(R67))-FIND(" ",R67))),"")),""))</f>
        <v/>
      </c>
      <c r="AQ67" s="63"/>
    </row>
    <row r="68" spans="1:43" x14ac:dyDescent="0.25">
      <c r="B68" s="34" t="s">
        <v>136</v>
      </c>
      <c r="C68" s="36" t="str">
        <f>IF(B68="","",SUBSTITUTE(LEFT(B68,FIND(" ",B68)-1),"-",""))</f>
        <v>Dec23:</v>
      </c>
      <c r="D68">
        <f t="shared" si="87"/>
        <v>15.5</v>
      </c>
      <c r="E68">
        <f t="shared" si="88"/>
        <v>17.5</v>
      </c>
      <c r="F68" s="2">
        <f t="shared" ref="F68:F77" si="92">IF(B68="","",IF(F67="",IF(F66="","",F66),F67))</f>
        <v>6</v>
      </c>
      <c r="H68" s="44" t="str">
        <f t="shared" ref="H68:H78" si="93">IFERROR(IF(B68="","",IF(D68=INDEX(N:N,MATCH(C68,M:M,0)),"",INDEX(N:N,MATCH(C68,M:M,0))&amp; " bid")&amp;IF(E68=INDEX(O:O,MATCH(C68,M:M,0)),"",IF(D68=INDEX(N:N,MATCH(C68,M:M,0)),INDEX(O:O,MATCH(C68,M:M,0))&amp;" offer"," / "&amp;INDEX(O:O,MATCH(C68,M:M,0))&amp;" offer"))),"")</f>
        <v/>
      </c>
      <c r="I68" s="6" t="str">
        <f>IF(A68="JP",IF(B68="","",IF(H68="",B68,B68&amp;" -&gt; "&amp;H68)),IF(B68="","",IF(G68="",B68,B68&amp;" -&gt; "&amp;G68)))</f>
        <v>Dec-23: 15.5 / 17.5</v>
      </c>
      <c r="J68" s="6" t="str">
        <f t="shared" ref="J68:J77" si="94">IF(B68="","",IF(H68="",B68,B68&amp;" -&gt; "&amp;H68))</f>
        <v>Dec-23: 15.5 / 17.5</v>
      </c>
      <c r="R68" s="109"/>
      <c r="S68" s="110" t="str">
        <f t="shared" ref="S68" si="95">IF(V60&lt;D68, "Better Bid | ",IF(V60&gt;D68,"Worse bid | ","")) &amp; IF(W60&gt;E68,"Better offer",IF(W60&lt;E68,"Worse offer",""))</f>
        <v>Worse bid | Better offer</v>
      </c>
      <c r="U68" s="1" t="str">
        <f t="shared" si="89"/>
        <v/>
      </c>
      <c r="V68" t="str">
        <f t="shared" si="90"/>
        <v/>
      </c>
      <c r="W68" s="2" t="str">
        <f t="shared" si="91"/>
        <v/>
      </c>
      <c r="AQ68" s="63"/>
    </row>
    <row r="69" spans="1:43" x14ac:dyDescent="0.25">
      <c r="A69" t="str">
        <f t="shared" ref="A69:A77" si="96">IF(B69="","",IF(A68="",IF(A67="","",A67),A68))</f>
        <v>Barc</v>
      </c>
      <c r="B69" s="34" t="s">
        <v>129</v>
      </c>
      <c r="C69" s="36" t="str">
        <f t="shared" ref="C69:C77" si="97">IF(B69="","",SUBSTITUTE(SUBSTITUTE(LEFT(B69,FIND(" ",B69)-1),"-",""),":",""))</f>
        <v>Dec24</v>
      </c>
      <c r="D69">
        <f t="shared" si="87"/>
        <v>21.5</v>
      </c>
      <c r="E69">
        <f t="shared" si="88"/>
        <v>23.5</v>
      </c>
      <c r="F69" s="2">
        <f t="shared" si="92"/>
        <v>6</v>
      </c>
      <c r="G69" s="6" t="str">
        <f t="shared" ref="G69:G78" si="98">IFERROR(IF(B69="","",IF(D69=INDEX(N:N,MATCH(C69,M:M,0)),"best bid "&amp;IF(LEFT(INDEX(P:P,MATCH(C69,M:M,0)),1)-1=0,"","("&amp;LEFT(INDEX(P:P,MATCH(C69,M:M,0)),1)-1&amp;" with you)"),INDEX(N:N,MATCH(C69,M:M,0))&amp; " bid")&amp;" / "&amp;IF(E69=INDEX(O:O,MATCH(C69,M:M,0)),"best offer "&amp;IF(LEFT(INDEX(Q:Q,MATCH(C69,M:M,0)),1)-1=0,"","("&amp;LEFT(INDEX(Q:Q,MATCH(C69,M:M,0)),1)-1&amp;" with you)"),INDEX(O:O,MATCH(C69,M:M,0))&amp;" offer")),"")</f>
        <v>22 bid / best offer (1 with you)</v>
      </c>
      <c r="H69" s="1" t="str">
        <f t="shared" si="93"/>
        <v>22 bid</v>
      </c>
      <c r="I69" s="6" t="str">
        <f t="shared" ref="I69:I77" si="99">IF(B69="","",LEFT(B69,7)&amp;" "&amp;LEFT(T61,1)&amp;VLOOKUP(C69,$M$4:$O$13,2,FALSE)&amp;IF(D69&lt;&gt;VLOOKUP(C69,$M$4:$O$13,2,FALSE),"*","")&amp;RIGHT(T61,1)&amp;" / "&amp;LEFT(AQ61,1)&amp;VLOOKUP(C69,$M$4:$O$13,3,FALSE)&amp;IF(E69&lt;&gt;VLOOKUP(C69,$M$4:$O$13,3,FALSE),"*","")&amp;RIGHT(AQ61,1))</f>
        <v>Dec-24: 22* / 23.5</v>
      </c>
      <c r="J69" s="6" t="str">
        <f t="shared" si="94"/>
        <v>Dec-24: 21.5 / 23.5 -&gt; 22 bid</v>
      </c>
      <c r="R69" s="109"/>
      <c r="S69" s="110" t="str">
        <f t="shared" ref="S69:S76" si="100">IF(V69&lt;D69, "Better Bid | ",IF(V69&gt;D69,"Worse bid | ","")) &amp; IF(W69&gt;E69,"Better offer",IF(W69&lt;E69,"Worse offer",""))</f>
        <v>Worse bid | Better offer</v>
      </c>
      <c r="U69" s="1" t="str">
        <f t="shared" si="89"/>
        <v/>
      </c>
      <c r="V69" t="str">
        <f t="shared" si="90"/>
        <v/>
      </c>
      <c r="W69" s="2" t="str">
        <f t="shared" si="91"/>
        <v/>
      </c>
      <c r="AQ69" s="63"/>
    </row>
    <row r="70" spans="1:43" x14ac:dyDescent="0.25">
      <c r="A70" t="str">
        <f t="shared" si="96"/>
        <v>Barc</v>
      </c>
      <c r="B70" s="34" t="s">
        <v>126</v>
      </c>
      <c r="C70" s="36" t="str">
        <f t="shared" si="97"/>
        <v>Dec25</v>
      </c>
      <c r="D70">
        <f t="shared" si="87"/>
        <v>27.5</v>
      </c>
      <c r="E70">
        <f t="shared" si="88"/>
        <v>29.5</v>
      </c>
      <c r="F70" s="2">
        <f t="shared" si="92"/>
        <v>6</v>
      </c>
      <c r="G70" s="6" t="str">
        <f t="shared" si="98"/>
        <v>best bid (2 with you) / best offer (2 with you)</v>
      </c>
      <c r="H70" s="1" t="str">
        <f t="shared" si="93"/>
        <v/>
      </c>
      <c r="I70" s="6" t="str">
        <f t="shared" si="99"/>
        <v>Dec-25: 27.5 / 29.5</v>
      </c>
      <c r="J70" s="6" t="str">
        <f t="shared" si="94"/>
        <v>Dec-25: 27.5 / 29.5</v>
      </c>
      <c r="R70" s="109"/>
      <c r="S70" s="110" t="str">
        <f t="shared" si="100"/>
        <v>Worse bid | Better offer</v>
      </c>
      <c r="U70" s="1" t="str">
        <f t="shared" si="89"/>
        <v/>
      </c>
      <c r="V70" t="str">
        <f t="shared" si="90"/>
        <v/>
      </c>
      <c r="W70" s="2" t="str">
        <f t="shared" si="91"/>
        <v/>
      </c>
      <c r="AQ70" s="63"/>
    </row>
    <row r="71" spans="1:43" x14ac:dyDescent="0.25">
      <c r="A71" t="str">
        <f t="shared" si="96"/>
        <v>Barc</v>
      </c>
      <c r="B71" s="34" t="s">
        <v>127</v>
      </c>
      <c r="C71" s="36" t="str">
        <f t="shared" si="97"/>
        <v>Dec26</v>
      </c>
      <c r="D71">
        <f t="shared" si="87"/>
        <v>34</v>
      </c>
      <c r="E71">
        <f t="shared" si="88"/>
        <v>36</v>
      </c>
      <c r="F71" s="2">
        <f t="shared" si="92"/>
        <v>6</v>
      </c>
      <c r="G71" s="6" t="str">
        <f t="shared" si="98"/>
        <v>best bid (2 with you) / best offer (2 with you)</v>
      </c>
      <c r="H71" s="1" t="str">
        <f t="shared" si="93"/>
        <v/>
      </c>
      <c r="I71" s="6" t="str">
        <f t="shared" si="99"/>
        <v>Dec-26: 34 / 36</v>
      </c>
      <c r="J71" s="6" t="str">
        <f t="shared" si="94"/>
        <v>Dec-26: 34 / 36</v>
      </c>
      <c r="R71" s="109"/>
      <c r="S71" s="110" t="str">
        <f t="shared" si="100"/>
        <v>Worse bid | Better offer</v>
      </c>
      <c r="U71" s="1" t="str">
        <f t="shared" si="89"/>
        <v/>
      </c>
      <c r="V71" t="str">
        <f t="shared" si="90"/>
        <v/>
      </c>
      <c r="W71" s="2" t="str">
        <f t="shared" si="91"/>
        <v/>
      </c>
    </row>
    <row r="72" spans="1:43" x14ac:dyDescent="0.25">
      <c r="A72" t="str">
        <f t="shared" si="96"/>
        <v>Barc</v>
      </c>
      <c r="B72" s="34" t="s">
        <v>130</v>
      </c>
      <c r="C72" s="36" t="str">
        <f t="shared" si="97"/>
        <v>Dec27</v>
      </c>
      <c r="D72">
        <f t="shared" si="87"/>
        <v>41</v>
      </c>
      <c r="E72">
        <f t="shared" si="88"/>
        <v>43</v>
      </c>
      <c r="F72" s="2">
        <f t="shared" si="92"/>
        <v>6</v>
      </c>
      <c r="G72" s="6" t="str">
        <f t="shared" si="98"/>
        <v>best bid (1 with you) / best offer (1 with you)</v>
      </c>
      <c r="H72" s="1" t="str">
        <f t="shared" si="93"/>
        <v/>
      </c>
      <c r="I72" s="6" t="str">
        <f t="shared" si="99"/>
        <v>Dec-27: 41 / 43</v>
      </c>
      <c r="J72" s="6" t="str">
        <f t="shared" si="94"/>
        <v>Dec-27: 41 / 43</v>
      </c>
      <c r="R72" s="109"/>
      <c r="S72" s="110" t="str">
        <f t="shared" si="100"/>
        <v>Worse bid | Better offer</v>
      </c>
      <c r="U72" s="1" t="str">
        <f t="shared" si="89"/>
        <v/>
      </c>
      <c r="V72" t="str">
        <f t="shared" si="90"/>
        <v/>
      </c>
      <c r="W72" s="2" t="str">
        <f t="shared" si="91"/>
        <v/>
      </c>
    </row>
    <row r="73" spans="1:43" x14ac:dyDescent="0.25">
      <c r="A73" t="str">
        <f t="shared" si="96"/>
        <v>Barc</v>
      </c>
      <c r="B73" s="34" t="s">
        <v>131</v>
      </c>
      <c r="C73" s="36" t="str">
        <f t="shared" si="97"/>
        <v>Dec28</v>
      </c>
      <c r="D73">
        <f t="shared" si="87"/>
        <v>48</v>
      </c>
      <c r="E73">
        <f t="shared" si="88"/>
        <v>50</v>
      </c>
      <c r="F73" s="2">
        <f t="shared" si="92"/>
        <v>6</v>
      </c>
      <c r="G73" s="6" t="str">
        <f t="shared" si="98"/>
        <v xml:space="preserve">48.5 bid / best offer </v>
      </c>
      <c r="H73" s="1" t="str">
        <f t="shared" si="93"/>
        <v>48.5 bid</v>
      </c>
      <c r="I73" s="6" t="str">
        <f t="shared" si="99"/>
        <v>Dec-28: 48.5* / 50</v>
      </c>
      <c r="J73" s="6" t="str">
        <f t="shared" si="94"/>
        <v>Dec-28: 48 / 50 -&gt; 48.5 bid</v>
      </c>
      <c r="R73" s="109"/>
      <c r="S73" s="110" t="str">
        <f t="shared" si="100"/>
        <v>Worse bid | Better offer</v>
      </c>
      <c r="U73" s="1" t="str">
        <f t="shared" si="89"/>
        <v/>
      </c>
      <c r="V73" t="str">
        <f t="shared" si="90"/>
        <v/>
      </c>
      <c r="W73" s="2" t="str">
        <f t="shared" si="91"/>
        <v/>
      </c>
    </row>
    <row r="74" spans="1:43" x14ac:dyDescent="0.25">
      <c r="A74" t="str">
        <f t="shared" si="96"/>
        <v>Barc</v>
      </c>
      <c r="B74" s="34" t="s">
        <v>132</v>
      </c>
      <c r="C74" s="36" t="str">
        <f t="shared" si="97"/>
        <v>Dec29</v>
      </c>
      <c r="D74">
        <f t="shared" si="87"/>
        <v>55</v>
      </c>
      <c r="E74">
        <f t="shared" si="88"/>
        <v>58</v>
      </c>
      <c r="F74" s="2">
        <f t="shared" si="92"/>
        <v>6</v>
      </c>
      <c r="G74" s="6" t="str">
        <f t="shared" si="98"/>
        <v xml:space="preserve">55.5 bid / best offer </v>
      </c>
      <c r="H74" s="1" t="str">
        <f t="shared" si="93"/>
        <v>55.5 bid</v>
      </c>
      <c r="I74" s="6" t="str">
        <f t="shared" si="99"/>
        <v>Dec-29: 55.5* / 58</v>
      </c>
      <c r="J74" s="6" t="str">
        <f t="shared" si="94"/>
        <v>Dec-29: 55 / 58 -&gt; 55.5 bid</v>
      </c>
      <c r="R74" s="109"/>
      <c r="S74" s="110" t="str">
        <f t="shared" si="100"/>
        <v>Worse bid | Better offer</v>
      </c>
      <c r="U74" s="1" t="str">
        <f t="shared" si="89"/>
        <v/>
      </c>
      <c r="V74" t="str">
        <f t="shared" si="90"/>
        <v/>
      </c>
      <c r="W74" s="2" t="str">
        <f t="shared" si="91"/>
        <v/>
      </c>
    </row>
    <row r="75" spans="1:43" x14ac:dyDescent="0.25">
      <c r="A75" t="str">
        <f t="shared" si="96"/>
        <v>Barc</v>
      </c>
      <c r="B75" s="34" t="s">
        <v>137</v>
      </c>
      <c r="C75" s="36" t="str">
        <f t="shared" si="97"/>
        <v>Dec30</v>
      </c>
      <c r="D75">
        <f t="shared" si="87"/>
        <v>62</v>
      </c>
      <c r="E75">
        <f t="shared" si="88"/>
        <v>66</v>
      </c>
      <c r="F75" s="2">
        <f t="shared" si="92"/>
        <v>6</v>
      </c>
      <c r="G75" s="6" t="str">
        <f t="shared" si="98"/>
        <v xml:space="preserve">63.5 bid / best offer </v>
      </c>
      <c r="H75" s="1" t="str">
        <f t="shared" si="93"/>
        <v>63.5 bid</v>
      </c>
      <c r="I75" s="6" t="str">
        <f t="shared" si="99"/>
        <v>Dec-30: 63.5* / 66</v>
      </c>
      <c r="J75" s="6" t="str">
        <f t="shared" si="94"/>
        <v>Dec-30: 62 / 66 -&gt; 63.5 bid</v>
      </c>
      <c r="R75" s="109"/>
      <c r="S75" s="110" t="str">
        <f t="shared" si="100"/>
        <v>Worse bid | Better offer</v>
      </c>
      <c r="U75" s="1" t="str">
        <f t="shared" si="89"/>
        <v/>
      </c>
      <c r="V75" t="str">
        <f t="shared" si="90"/>
        <v/>
      </c>
      <c r="W75" s="2" t="str">
        <f t="shared" si="91"/>
        <v/>
      </c>
    </row>
    <row r="76" spans="1:43" x14ac:dyDescent="0.25">
      <c r="A76" t="str">
        <f t="shared" si="96"/>
        <v>Barc</v>
      </c>
      <c r="B76" s="34" t="s">
        <v>138</v>
      </c>
      <c r="C76" s="36" t="str">
        <f t="shared" si="97"/>
        <v>Dec31</v>
      </c>
      <c r="D76">
        <f t="shared" si="87"/>
        <v>69.5</v>
      </c>
      <c r="E76">
        <f t="shared" si="88"/>
        <v>74.5</v>
      </c>
      <c r="F76" s="2">
        <f t="shared" si="92"/>
        <v>6</v>
      </c>
      <c r="G76" s="6" t="str">
        <f t="shared" si="98"/>
        <v xml:space="preserve">70 bid / best offer </v>
      </c>
      <c r="H76" s="1" t="str">
        <f t="shared" si="93"/>
        <v>70 bid</v>
      </c>
      <c r="I76" s="6" t="str">
        <f t="shared" si="99"/>
        <v>Dec-31: 70* / 74.5</v>
      </c>
      <c r="J76" s="6" t="str">
        <f t="shared" si="94"/>
        <v>Dec-31: 69.5 / 74.5 -&gt; 70 bid</v>
      </c>
      <c r="R76" s="109"/>
      <c r="S76" s="110" t="str">
        <f t="shared" si="100"/>
        <v>Worse bid | Better offer</v>
      </c>
      <c r="U76" s="1" t="str">
        <f t="shared" si="89"/>
        <v/>
      </c>
      <c r="V76" t="str">
        <f t="shared" si="90"/>
        <v/>
      </c>
      <c r="W76" s="2" t="str">
        <f t="shared" si="91"/>
        <v/>
      </c>
    </row>
    <row r="77" spans="1:43" x14ac:dyDescent="0.25">
      <c r="A77" t="str">
        <f t="shared" si="96"/>
        <v/>
      </c>
      <c r="B77" s="34"/>
      <c r="C77" s="36" t="str">
        <f t="shared" si="97"/>
        <v/>
      </c>
      <c r="D77" t="str">
        <f t="shared" si="87"/>
        <v/>
      </c>
      <c r="E77" t="str">
        <f t="shared" si="88"/>
        <v/>
      </c>
      <c r="F77" s="2" t="str">
        <f t="shared" si="92"/>
        <v/>
      </c>
      <c r="G77" s="6" t="str">
        <f t="shared" si="98"/>
        <v/>
      </c>
      <c r="H77" s="1" t="str">
        <f t="shared" si="93"/>
        <v/>
      </c>
      <c r="I77" s="6" t="str">
        <f t="shared" si="99"/>
        <v/>
      </c>
      <c r="J77" s="6" t="str">
        <f t="shared" si="94"/>
        <v/>
      </c>
      <c r="R77" s="109"/>
      <c r="S77" s="110" t="str">
        <f>IF(V77&lt;D77, "Better Bid | ",IF(V77&gt;D77,"Worse bid | ","")) &amp; IF(W77&gt;E77,"Better offer",IF(W77&lt;E77,"Worse offer",""))</f>
        <v/>
      </c>
      <c r="U77" s="1" t="str">
        <f t="shared" ref="U77" si="101">IF(R77="","",SUBSTITUTE(LEFT(R77,FIND(" ",R77)-1),"-",""))</f>
        <v/>
      </c>
      <c r="V77" t="str">
        <f t="shared" ref="V77" si="102">IF(R77="","",IFERROR(IFERROR(VALUE(SUBSTITUTE(MID(R77,FIND(" ",R77),FIND("/",R77)-FIND(" ",R77))," ","")),IF(FIND("B",UPPER(R77)),VALUE(MID(R77,FIND(" ",R77),FIND("B",UPPER(R77))-FIND(" ",R77))),"")),""))</f>
        <v/>
      </c>
      <c r="W77" s="2" t="str">
        <f t="shared" ref="W77" si="103">IF(R77="","",IFERROR(IFERROR(VALUE(SUBSTITUTE(RIGHT(R77,LEN(R77)-FIND("/",R77))," ","")),IF(FIND("O",UPPER(R77)),VALUE(MID(R77,FIND(" ",R77),FIND("O",UPPER(R77))-FIND(" ",R77))),"")),""))</f>
        <v/>
      </c>
    </row>
    <row r="78" spans="1:43" ht="15.75" thickBot="1" x14ac:dyDescent="0.3">
      <c r="A78" s="4" t="str">
        <f t="shared" ref="A78" si="104">IF(B78="","",IF(A77="",IF(A76="","",A76),A77))</f>
        <v/>
      </c>
      <c r="B78" s="34"/>
      <c r="C78" s="37" t="str">
        <f t="shared" ref="C78" si="105">IF(B78="","",SUBSTITUTE(SUBSTITUTE(LEFT(B78,FIND(" ",B78)-1),"-",""),":",""))</f>
        <v/>
      </c>
      <c r="D78" s="4" t="str">
        <f t="shared" ref="D78" si="106">IF(B78="","",IFERROR(IFERROR(VALUE(SUBSTITUTE(MID(B78,FIND(" ",B78),FIND("/",B78)-FIND(" ",B78))," ","")),IF(FIND("B",UPPER(B78)),VALUE(MID(B78,FIND(" ",B78),FIND("B",UPPER(B78))-FIND(" ",B78))),"")),""))</f>
        <v/>
      </c>
      <c r="E78" s="4" t="str">
        <f t="shared" ref="E78" si="107">IF(B78="","",IFERROR(IFERROR(VALUE(SUBSTITUTE(RIGHT(B78,LEN(B78)-FIND("/",B78))," ","")),IF(FIND("O",UPPER(B78)),VALUE(MID(B78,FIND(" ",B78),FIND("O",UPPER(B78))-FIND(" ",B78))),"")),""))</f>
        <v/>
      </c>
      <c r="F78" s="5" t="str">
        <f t="shared" ref="F78" si="108">IF(B78="","",IF(F77="",IF(F76="","",F76),F77))</f>
        <v/>
      </c>
      <c r="G78" s="7" t="str">
        <f t="shared" si="98"/>
        <v/>
      </c>
      <c r="H78" s="3" t="str">
        <f t="shared" si="93"/>
        <v/>
      </c>
      <c r="I78" s="7" t="str">
        <f t="shared" ref="I78" si="109">IF(B78="","",LEFT(B78,7)&amp;" "&amp;LEFT(T70,1)&amp;VLOOKUP(C78,$M$4:$O$13,2,FALSE)&amp;IF(D78&lt;&gt;VLOOKUP(C78,$M$4:$O$13,2,FALSE),"*","")&amp;RIGHT(T70,1)&amp;" / "&amp;LEFT(AQ70,1)&amp;VLOOKUP(C78,$M$4:$O$13,3,FALSE)&amp;IF(E78&lt;&gt;VLOOKUP(C78,$M$4:$O$13,3,FALSE),"*","")&amp;RIGHT(AQ70,1))</f>
        <v/>
      </c>
      <c r="J78" s="7" t="str">
        <f t="shared" ref="J78" si="110">IF(B78="","",IF(H78="",B78,B78&amp;" -&gt; "&amp;H78))</f>
        <v/>
      </c>
      <c r="R78" s="114"/>
      <c r="S78" s="112"/>
    </row>
    <row r="79" spans="1:43" x14ac:dyDescent="0.25">
      <c r="J79" s="79" t="str">
        <f>IF(OR(C80&lt;&gt;"",C81&lt;&gt;""),"Not in your run:","")</f>
        <v>Not in your run:</v>
      </c>
    </row>
    <row r="80" spans="1:43" x14ac:dyDescent="0.25">
      <c r="C80" s="77" t="str">
        <f>IF(AND(C68&lt;&gt;"Mar23",C69&lt;&gt;"Mar23",C70&lt;&gt;"Mar23",B67&lt;&gt;""),"Mar23","")</f>
        <v>Mar23</v>
      </c>
      <c r="J80" s="6" t="str">
        <f>IF(C80&lt;&gt;"","Mar-23: " &amp;VLOOKUP(C80,$M$3:$O$13,2,FALSE) &amp; " / " &amp; VLOOKUP(C80,$M$3:$O$13,3,FALSE),"")</f>
        <v>Mar-23: -9 / 0</v>
      </c>
    </row>
    <row r="81" spans="1:10" x14ac:dyDescent="0.25">
      <c r="C81" s="78" t="str">
        <f>IF(AND(C68&lt;&gt;"Jun23",C69&lt;&gt;"Jun23",C70&lt;&gt;"Jun23",B67&lt;&gt;""),"Jun23","")</f>
        <v>Jun23</v>
      </c>
      <c r="J81" s="7" t="str">
        <f>IF(C81&lt;&gt;"","Jun-23: " &amp;VLOOKUP(C81,$M$3:$O$13,2,FALSE) &amp; " / " &amp; VLOOKUP(C81,$M$3:$O$13,3,FALSE),"")</f>
        <v xml:space="preserve">Jun-23:  / </v>
      </c>
    </row>
    <row r="83" spans="1:10" x14ac:dyDescent="0.25">
      <c r="C83" s="36" t="str">
        <f>IF(B83="","",SUBSTITUTE(LEFT(B83,FIND(" ",B83)-1),"-",""))</f>
        <v/>
      </c>
      <c r="D83" t="str">
        <f t="shared" ref="D83:D95" si="111">IF(B83="","",IFERROR(IFERROR(VALUE(SUBSTITUTE(MID(B83,FIND(" ",B83),FIND("/",B83)-FIND(" ",B83))," ","")),IF(FIND("B",UPPER(B83)),VALUE(MID(B83,FIND(" ",B83),FIND("B",UPPER(B83))-FIND(" ",B83))),"")),""))</f>
        <v/>
      </c>
      <c r="E83" t="str">
        <f t="shared" ref="E83:E95" si="112">IF(B83="","",IFERROR(IFERROR(VALUE(SUBSTITUTE(RIGHT(B83,LEN(B83)-FIND("/",B83))," ","")),IF(FIND("O",UPPER(B83)),VALUE(MID(B83,FIND(" ",B83),FIND("O",UPPER(B83))-FIND(" ",B83))),"")),""))</f>
        <v/>
      </c>
      <c r="H83" t="str">
        <f>IFERROR(IF(B83="","",IF(D83=INDEX(N:N,MATCH(C83,M:M,0)),"you are best bid "&amp;IF(INDEX(P:P,MATCH(C83,M:M,0))-1=0,"","("&amp;INDEX(P:P,MATCH(C83,M:M,0))-1&amp;" with you)"),INDEX(N:N,MATCH(C83,M:M,0))&amp; " bid")&amp;" / "&amp;IF(E83=INDEX(O:O,MATCH(C83,M:M,0)),"you are best offer "&amp;IF(INDEX(Q:Q,MATCH(C83,M:M,0))-1=0,"","("&amp;INDEX(Q:Q,MATCH(C83,M:M,0))-1&amp;" with you)"),INDEX(O:O,MATCH(C83,M:M,0))&amp;" offer")),"")</f>
        <v/>
      </c>
      <c r="I83" s="39" t="str">
        <f xml:space="preserve"> "Your feedback Roland"</f>
        <v>Your feedback Roland</v>
      </c>
      <c r="J83" s="8" t="str">
        <f>I83</f>
        <v>Your feedback Roland</v>
      </c>
    </row>
    <row r="84" spans="1:10" x14ac:dyDescent="0.25">
      <c r="A84" s="32" t="s">
        <v>20</v>
      </c>
      <c r="B84" s="33"/>
      <c r="C84" s="40" t="str">
        <f>IF(B84="","",SUBSTITUTE(LEFT(B84,FIND(" ",B84)-1),"-",""))</f>
        <v/>
      </c>
      <c r="D84" s="40" t="str">
        <f t="shared" si="111"/>
        <v/>
      </c>
      <c r="E84" s="40" t="str">
        <f t="shared" si="112"/>
        <v/>
      </c>
      <c r="F84" s="41" t="str">
        <f>IF(B84="","",VALUE(SUBSTITUTE(SUBSTITUTE(SUBSTITUTE(SUBSTITUTE(SUBSTITUTE(RIGHT(B84,LEN(B84)-FIND("vs",B84)+1),"basis",""),"vs.","")," ",""),":",""),"vs","")))</f>
        <v/>
      </c>
      <c r="G84" s="42" t="s">
        <v>13</v>
      </c>
      <c r="H84" s="43" t="s">
        <v>14</v>
      </c>
      <c r="I84" s="6">
        <f>B84</f>
        <v>0</v>
      </c>
      <c r="J84" s="6" t="str">
        <f t="shared" ref="J84:J95" si="113">IF(B84="","",IF(H84="",B84,B84&amp;" -&gt; "&amp;H84))</f>
        <v/>
      </c>
    </row>
    <row r="85" spans="1:10" x14ac:dyDescent="0.25">
      <c r="A85" t="str">
        <f t="shared" ref="A85:A95" si="114">IF(B85="","",IF(A84="",IF(A83="","",A83),A84))</f>
        <v/>
      </c>
      <c r="B85" s="34"/>
      <c r="C85" s="36" t="str">
        <f>IF(B85="","",SUBSTITUTE(LEFT(B85,FIND(" ",B85)-1),"-",""))</f>
        <v/>
      </c>
      <c r="D85" t="str">
        <f t="shared" si="111"/>
        <v/>
      </c>
      <c r="E85" t="str">
        <f t="shared" si="112"/>
        <v/>
      </c>
      <c r="F85" s="2" t="str">
        <f t="shared" ref="F85:F95" si="115">IF(B85="","",IF(F84="",IF(F83="","",F83),F84))</f>
        <v/>
      </c>
      <c r="H85" s="44" t="str">
        <f t="shared" ref="H85:H95" si="116">IFERROR(IF(B85="","",IF(D85=INDEX(N:N,MATCH(C85,M:M,0)),"",INDEX(N:N,MATCH(C85,M:M,0))&amp; " bid")&amp;IF(E85=INDEX(O:O,MATCH(C85,M:M,0)),"",IF(D85=INDEX(N:N,MATCH(C85,M:M,0)),INDEX(O:O,MATCH(C85,M:M,0))&amp;" offer"," / "&amp;INDEX(O:O,MATCH(C85,M:M,0))&amp;" offer"))),"")</f>
        <v/>
      </c>
      <c r="I85" s="6" t="str">
        <f t="shared" ref="I85:I95" si="117">IF(B85="","",IF(H85="",B85,B85&amp;" -&gt; "&amp;H85))</f>
        <v/>
      </c>
      <c r="J85" s="6" t="str">
        <f t="shared" si="113"/>
        <v/>
      </c>
    </row>
    <row r="86" spans="1:10" x14ac:dyDescent="0.25">
      <c r="A86" t="str">
        <f t="shared" si="114"/>
        <v/>
      </c>
      <c r="B86" s="34"/>
      <c r="C86" s="36" t="str">
        <f t="shared" ref="C86:C94" si="118">IF(B86="","",SUBSTITUTE(SUBSTITUTE(LEFT(B86,FIND(" ",B86)-1),"-",""),":",""))</f>
        <v/>
      </c>
      <c r="D86" t="str">
        <f t="shared" si="111"/>
        <v/>
      </c>
      <c r="E86" t="str">
        <f t="shared" si="112"/>
        <v/>
      </c>
      <c r="F86" s="2" t="str">
        <f t="shared" si="115"/>
        <v/>
      </c>
      <c r="G86" s="6" t="str">
        <f t="shared" ref="G86:G95" si="119">IFERROR(IF(B86="","",IF(D86=INDEX(N:N,MATCH(C86,M:M,0)),"best bid "&amp;IF(LEFT(INDEX(P:P,MATCH(C86,M:M,0)),1)-1=0,"","("&amp;LEFT(INDEX(P:P,MATCH(C86,M:M,0)),1)-1&amp;" with you)"),INDEX(N:N,MATCH(C86,M:M,0))&amp; " bid")&amp;" / "&amp;IF(E86=INDEX(O:O,MATCH(C86,M:M,0)),"best offer "&amp;IF(LEFT(INDEX(Q:Q,MATCH(C86,M:M,0)),1)-1=0,"","("&amp;LEFT(INDEX(Q:Q,MATCH(C86,M:M,0)),1)-1&amp;" with you)"),INDEX(O:O,MATCH(C86,M:M,0))&amp;" offer")),"")</f>
        <v/>
      </c>
      <c r="H86" s="1" t="str">
        <f t="shared" si="116"/>
        <v/>
      </c>
      <c r="I86" s="6" t="str">
        <f t="shared" si="117"/>
        <v/>
      </c>
      <c r="J86" s="6" t="str">
        <f t="shared" si="113"/>
        <v/>
      </c>
    </row>
    <row r="87" spans="1:10" x14ac:dyDescent="0.25">
      <c r="A87" t="str">
        <f t="shared" si="114"/>
        <v/>
      </c>
      <c r="B87" s="34"/>
      <c r="C87" s="36" t="str">
        <f t="shared" si="118"/>
        <v/>
      </c>
      <c r="D87" t="str">
        <f t="shared" si="111"/>
        <v/>
      </c>
      <c r="E87" t="str">
        <f t="shared" si="112"/>
        <v/>
      </c>
      <c r="F87" s="2" t="str">
        <f t="shared" si="115"/>
        <v/>
      </c>
      <c r="G87" s="6" t="str">
        <f t="shared" si="119"/>
        <v/>
      </c>
      <c r="H87" s="1" t="str">
        <f t="shared" si="116"/>
        <v/>
      </c>
      <c r="I87" s="6" t="str">
        <f t="shared" si="117"/>
        <v/>
      </c>
      <c r="J87" s="6" t="str">
        <f t="shared" si="113"/>
        <v/>
      </c>
    </row>
    <row r="88" spans="1:10" x14ac:dyDescent="0.25">
      <c r="A88" t="str">
        <f t="shared" si="114"/>
        <v/>
      </c>
      <c r="B88" s="34"/>
      <c r="C88" s="36" t="str">
        <f t="shared" si="118"/>
        <v/>
      </c>
      <c r="D88" t="str">
        <f t="shared" si="111"/>
        <v/>
      </c>
      <c r="E88" t="str">
        <f t="shared" si="112"/>
        <v/>
      </c>
      <c r="F88" s="2" t="str">
        <f t="shared" si="115"/>
        <v/>
      </c>
      <c r="G88" s="6" t="str">
        <f t="shared" si="119"/>
        <v/>
      </c>
      <c r="H88" s="1" t="str">
        <f t="shared" si="116"/>
        <v/>
      </c>
      <c r="I88" s="6" t="str">
        <f t="shared" si="117"/>
        <v/>
      </c>
      <c r="J88" s="6" t="str">
        <f t="shared" si="113"/>
        <v/>
      </c>
    </row>
    <row r="89" spans="1:10" x14ac:dyDescent="0.25">
      <c r="A89" t="str">
        <f t="shared" si="114"/>
        <v/>
      </c>
      <c r="B89" s="34"/>
      <c r="C89" s="36" t="str">
        <f t="shared" si="118"/>
        <v/>
      </c>
      <c r="D89" t="str">
        <f t="shared" si="111"/>
        <v/>
      </c>
      <c r="E89" t="str">
        <f t="shared" si="112"/>
        <v/>
      </c>
      <c r="F89" s="2" t="str">
        <f t="shared" si="115"/>
        <v/>
      </c>
      <c r="G89" s="6" t="str">
        <f t="shared" si="119"/>
        <v/>
      </c>
      <c r="H89" s="1" t="str">
        <f t="shared" si="116"/>
        <v/>
      </c>
      <c r="I89" s="6" t="str">
        <f t="shared" si="117"/>
        <v/>
      </c>
      <c r="J89" s="6" t="str">
        <f t="shared" si="113"/>
        <v/>
      </c>
    </row>
    <row r="90" spans="1:10" x14ac:dyDescent="0.25">
      <c r="A90" t="str">
        <f t="shared" si="114"/>
        <v/>
      </c>
      <c r="B90" s="34"/>
      <c r="C90" s="36" t="str">
        <f t="shared" si="118"/>
        <v/>
      </c>
      <c r="D90" t="str">
        <f t="shared" si="111"/>
        <v/>
      </c>
      <c r="E90" t="str">
        <f t="shared" si="112"/>
        <v/>
      </c>
      <c r="F90" s="2" t="str">
        <f t="shared" si="115"/>
        <v/>
      </c>
      <c r="G90" s="6" t="str">
        <f t="shared" si="119"/>
        <v/>
      </c>
      <c r="H90" s="1" t="str">
        <f t="shared" si="116"/>
        <v/>
      </c>
      <c r="I90" s="6" t="str">
        <f t="shared" si="117"/>
        <v/>
      </c>
      <c r="J90" s="6" t="str">
        <f t="shared" si="113"/>
        <v/>
      </c>
    </row>
    <row r="91" spans="1:10" x14ac:dyDescent="0.25">
      <c r="A91" t="str">
        <f t="shared" si="114"/>
        <v/>
      </c>
      <c r="B91" s="34"/>
      <c r="C91" s="36" t="str">
        <f t="shared" si="118"/>
        <v/>
      </c>
      <c r="D91" t="str">
        <f t="shared" si="111"/>
        <v/>
      </c>
      <c r="E91" t="str">
        <f t="shared" si="112"/>
        <v/>
      </c>
      <c r="F91" s="2" t="str">
        <f t="shared" si="115"/>
        <v/>
      </c>
      <c r="G91" s="6" t="str">
        <f t="shared" si="119"/>
        <v/>
      </c>
      <c r="H91" s="1" t="str">
        <f t="shared" si="116"/>
        <v/>
      </c>
      <c r="I91" s="6" t="str">
        <f t="shared" si="117"/>
        <v/>
      </c>
      <c r="J91" s="6" t="str">
        <f t="shared" si="113"/>
        <v/>
      </c>
    </row>
    <row r="92" spans="1:10" x14ac:dyDescent="0.25">
      <c r="A92" t="str">
        <f t="shared" si="114"/>
        <v/>
      </c>
      <c r="B92" s="34"/>
      <c r="C92" s="36" t="str">
        <f t="shared" si="118"/>
        <v/>
      </c>
      <c r="D92" t="str">
        <f t="shared" si="111"/>
        <v/>
      </c>
      <c r="E92" t="str">
        <f t="shared" si="112"/>
        <v/>
      </c>
      <c r="F92" s="2" t="str">
        <f t="shared" si="115"/>
        <v/>
      </c>
      <c r="G92" s="6" t="str">
        <f t="shared" si="119"/>
        <v/>
      </c>
      <c r="H92" s="1" t="str">
        <f t="shared" si="116"/>
        <v/>
      </c>
      <c r="I92" s="6" t="str">
        <f t="shared" si="117"/>
        <v/>
      </c>
      <c r="J92" s="6" t="str">
        <f t="shared" si="113"/>
        <v/>
      </c>
    </row>
    <row r="93" spans="1:10" x14ac:dyDescent="0.25">
      <c r="A93" t="str">
        <f t="shared" si="114"/>
        <v/>
      </c>
      <c r="B93" s="34"/>
      <c r="C93" s="36" t="str">
        <f t="shared" si="118"/>
        <v/>
      </c>
      <c r="D93" t="str">
        <f t="shared" si="111"/>
        <v/>
      </c>
      <c r="E93" t="str">
        <f t="shared" si="112"/>
        <v/>
      </c>
      <c r="F93" s="2" t="str">
        <f t="shared" si="115"/>
        <v/>
      </c>
      <c r="G93" s="6" t="str">
        <f t="shared" si="119"/>
        <v/>
      </c>
      <c r="H93" s="1" t="str">
        <f t="shared" si="116"/>
        <v/>
      </c>
      <c r="I93" s="6" t="str">
        <f t="shared" si="117"/>
        <v/>
      </c>
      <c r="J93" s="6" t="str">
        <f t="shared" si="113"/>
        <v/>
      </c>
    </row>
    <row r="94" spans="1:10" x14ac:dyDescent="0.25">
      <c r="A94" t="str">
        <f t="shared" si="114"/>
        <v/>
      </c>
      <c r="B94" s="34"/>
      <c r="C94" s="36" t="str">
        <f t="shared" si="118"/>
        <v/>
      </c>
      <c r="D94" t="str">
        <f t="shared" si="111"/>
        <v/>
      </c>
      <c r="E94" t="str">
        <f t="shared" si="112"/>
        <v/>
      </c>
      <c r="F94" s="2" t="str">
        <f t="shared" si="115"/>
        <v/>
      </c>
      <c r="G94" s="6" t="str">
        <f t="shared" si="119"/>
        <v/>
      </c>
      <c r="H94" s="1" t="str">
        <f t="shared" si="116"/>
        <v/>
      </c>
      <c r="I94" s="6" t="str">
        <f t="shared" si="117"/>
        <v/>
      </c>
      <c r="J94" s="6" t="str">
        <f t="shared" si="113"/>
        <v/>
      </c>
    </row>
    <row r="95" spans="1:10" x14ac:dyDescent="0.25">
      <c r="A95" s="3" t="str">
        <f t="shared" si="114"/>
        <v/>
      </c>
      <c r="B95" s="35"/>
      <c r="C95" s="37" t="str">
        <f>IF(B95="","",SUBSTITUTE(LEFT(B95,FIND(" ",B95)-1),"-",""))</f>
        <v/>
      </c>
      <c r="D95" s="4" t="str">
        <f t="shared" si="111"/>
        <v/>
      </c>
      <c r="E95" s="4" t="str">
        <f t="shared" si="112"/>
        <v/>
      </c>
      <c r="F95" s="5" t="str">
        <f t="shared" si="115"/>
        <v/>
      </c>
      <c r="G95" s="7" t="str">
        <f t="shared" si="119"/>
        <v/>
      </c>
      <c r="H95" s="3" t="str">
        <f t="shared" si="116"/>
        <v/>
      </c>
      <c r="I95" s="7" t="str">
        <f t="shared" si="117"/>
        <v/>
      </c>
      <c r="J95" s="7" t="str">
        <f t="shared" si="113"/>
        <v/>
      </c>
    </row>
    <row r="96" spans="1:10" x14ac:dyDescent="0.25">
      <c r="J96" s="79" t="str">
        <f>IF(OR(C97&lt;&gt;"",C101&lt;&gt;""),"Not in your run:","")</f>
        <v/>
      </c>
    </row>
    <row r="97" spans="1:10" x14ac:dyDescent="0.25">
      <c r="C97" s="77" t="str">
        <f>IF(AND(C85&lt;&gt;"Mar23",C86&lt;&gt;"Mar23",C87&lt;&gt;"Mar23",B84&lt;&gt;""),"Mar23","")</f>
        <v/>
      </c>
      <c r="J97" s="6" t="str">
        <f>IF(C97&lt;&gt;"",C97&amp;" " &amp;VLOOKUP(C97,$M$3:$O$13,2,FALSE) &amp; " / " &amp; VLOOKUP(C97,$M$3:$O$13,3,FALSE),"")</f>
        <v/>
      </c>
    </row>
    <row r="98" spans="1:10" x14ac:dyDescent="0.25">
      <c r="C98" s="78" t="str">
        <f>IF(AND(C85&lt;&gt;"Jun23",C86&lt;&gt;"Jun23",C87&lt;&gt;"Jun23",B84&lt;&gt;""),"Jun23","")</f>
        <v/>
      </c>
      <c r="J98" s="7" t="str">
        <f>IF(C98&lt;&gt;"",C98&amp;" " &amp;VLOOKUP(C98,$M$3:$O$13,2,FALSE) &amp; " / " &amp; VLOOKUP(C98,$M$3:$O$13,3,FALSE),"")</f>
        <v/>
      </c>
    </row>
    <row r="101" spans="1:10" x14ac:dyDescent="0.25">
      <c r="C101" s="36" t="str">
        <f t="shared" ref="C101:C113" si="120">IF(B101="","",SUBSTITUTE(LEFT(B101,FIND(" ",B101)-1),"-",""))</f>
        <v/>
      </c>
      <c r="D101" t="str">
        <f t="shared" ref="D101:D113" si="121">IF(B101="","",IFERROR(IFERROR(VALUE(SUBSTITUTE(MID(B101,FIND(" ",B101),FIND("/",B101)-FIND(" ",B101))," ","")),IF(FIND("B",UPPER(B101)),VALUE(MID(B101,FIND(" ",B101),FIND("B",UPPER(B101))-FIND(" ",B101))),"")),""))</f>
        <v/>
      </c>
      <c r="E101" t="str">
        <f t="shared" ref="E101:E113" si="122">IF(B101="","",IFERROR(IFERROR(VALUE(SUBSTITUTE(RIGHT(B101,LEN(B101)-FIND("/",B101))," ","")),IF(FIND("O",UPPER(B101)),VALUE(MID(B101,FIND(" ",B101),FIND("O",UPPER(B101))-FIND(" ",B101))),"")),""))</f>
        <v/>
      </c>
      <c r="H101" t="str">
        <f>IFERROR(IF(B101="","",IF(D101=INDEX(N:N,MATCH(C101,M:M,0)),"you are best bid "&amp;IF(INDEX(P:P,MATCH(C101,M:M,0))-1=0,"","("&amp;INDEX(P:P,MATCH(C101,M:M,0))-1&amp;" with you)"),INDEX(N:N,MATCH(C101,M:M,0))&amp; " bid")&amp;" / "&amp;IF(E101=INDEX(O:O,MATCH(C101,M:M,0)),"you are best offer "&amp;IF(INDEX(Q:Q,MATCH(C101,M:M,0))-1=0,"","("&amp;INDEX(Q:Q,MATCH(C101,M:M,0))-1&amp;" with you)"),INDEX(O:O,MATCH(C101,M:M,0))&amp;" offer")),"")</f>
        <v/>
      </c>
      <c r="I101" s="39" t="str">
        <f xml:space="preserve"> "Send to " &amp;A102</f>
        <v xml:space="preserve">Send to </v>
      </c>
      <c r="J101" s="6" t="str">
        <f>IF(C101&lt;&gt;"",C101&amp;" " &amp;VLOOKUP(C101,$M$3:$O$13,2,FALSE) &amp; " / " &amp; VLOOKUP(C101,$M$3:$O$13,3,FALSE),"")</f>
        <v/>
      </c>
    </row>
    <row r="102" spans="1:10" x14ac:dyDescent="0.25">
      <c r="A102" s="32"/>
      <c r="B102" s="33"/>
      <c r="C102" s="40" t="str">
        <f t="shared" si="120"/>
        <v/>
      </c>
      <c r="D102" s="40" t="str">
        <f t="shared" si="121"/>
        <v/>
      </c>
      <c r="E102" s="40" t="str">
        <f t="shared" si="122"/>
        <v/>
      </c>
      <c r="F102" s="41" t="str">
        <f>IF(B102="","",VALUE(SUBSTITUTE(SUBSTITUTE(SUBSTITUTE(SUBSTITUTE(SUBSTITUTE(RIGHT(B102,LEN(B102)-FIND("vs",B102)+1),"basis",""),"vs.","")," ",""),":",""),"vs","")))</f>
        <v/>
      </c>
      <c r="G102" s="42" t="s">
        <v>13</v>
      </c>
      <c r="H102" s="43" t="s">
        <v>14</v>
      </c>
      <c r="I102" s="6">
        <f>B102</f>
        <v>0</v>
      </c>
    </row>
    <row r="103" spans="1:10" x14ac:dyDescent="0.25">
      <c r="A103" t="str">
        <f t="shared" ref="A103:A113" si="123">IF(B103="","",IF(A102="",IF(A101="","",A101),A102))</f>
        <v/>
      </c>
      <c r="C103" s="36" t="str">
        <f t="shared" si="120"/>
        <v/>
      </c>
      <c r="D103" t="str">
        <f t="shared" si="121"/>
        <v/>
      </c>
      <c r="E103" t="str">
        <f t="shared" si="122"/>
        <v/>
      </c>
      <c r="F103" s="2" t="str">
        <f t="shared" ref="F103:F113" si="124">IF(B103="","",IF(F102="",IF(F101="","",F101),F102))</f>
        <v/>
      </c>
      <c r="H103" s="44" t="str">
        <f t="shared" ref="H103:H113" si="125">IFERROR(IF(B103="","",IF(D103=INDEX(N:N,MATCH(C103,M:M,0)),"",INDEX(N:N,MATCH(C103,M:M,0))&amp; " bid")&amp;IF(E103=INDEX(O:O,MATCH(C103,M:M,0)),"",IF(D103=INDEX(N:N,MATCH(C103,M:M,0)),INDEX(O:O,MATCH(C103,M:M,0))&amp;" offer"," / "&amp;INDEX(O:O,MATCH(C103,M:M,0))&amp;" offer"))),"")</f>
        <v/>
      </c>
      <c r="I103" s="6" t="str">
        <f t="shared" ref="I103:I113" si="126">IF(B103="","",IF(H103="",B103,B103&amp;" -&gt; "&amp;H103))</f>
        <v/>
      </c>
    </row>
    <row r="104" spans="1:10" x14ac:dyDescent="0.25">
      <c r="A104" t="str">
        <f t="shared" si="123"/>
        <v/>
      </c>
      <c r="B104" s="34"/>
      <c r="C104" s="36" t="str">
        <f t="shared" si="120"/>
        <v/>
      </c>
      <c r="D104" t="str">
        <f t="shared" si="121"/>
        <v/>
      </c>
      <c r="E104" t="str">
        <f t="shared" si="122"/>
        <v/>
      </c>
      <c r="F104" s="2" t="str">
        <f t="shared" si="124"/>
        <v/>
      </c>
      <c r="G104" s="6" t="str">
        <f t="shared" ref="G104:G113" si="127">IFERROR(IF(B104="","",IF(D104=INDEX(N:N,MATCH(C104,M:M,0)),"best bid "&amp;IF(LEFT(INDEX(P:P,MATCH(C104,M:M,0)),1)-1=0,"","("&amp;LEFT(INDEX(P:P,MATCH(C104,M:M,0)),1)-1&amp;" with you)"),INDEX(N:N,MATCH(C104,M:M,0))&amp; " bid")&amp;" / "&amp;IF(E104=INDEX(O:O,MATCH(C104,M:M,0)),"best offer "&amp;IF(LEFT(INDEX(Q:Q,MATCH(C104,M:M,0)),1)-1=0,"","("&amp;LEFT(INDEX(Q:Q,MATCH(C104,M:M,0)),1)-1&amp;" with you)"),INDEX(O:O,MATCH(C104,M:M,0))&amp;" offer")),"")</f>
        <v/>
      </c>
      <c r="H104" s="1" t="str">
        <f t="shared" si="125"/>
        <v/>
      </c>
      <c r="I104" s="6" t="str">
        <f t="shared" si="126"/>
        <v/>
      </c>
    </row>
    <row r="105" spans="1:10" x14ac:dyDescent="0.25">
      <c r="A105" t="str">
        <f t="shared" si="123"/>
        <v/>
      </c>
      <c r="B105" s="34"/>
      <c r="C105" s="36" t="str">
        <f t="shared" si="120"/>
        <v/>
      </c>
      <c r="D105" t="str">
        <f t="shared" si="121"/>
        <v/>
      </c>
      <c r="E105" t="str">
        <f t="shared" si="122"/>
        <v/>
      </c>
      <c r="F105" s="2" t="str">
        <f t="shared" si="124"/>
        <v/>
      </c>
      <c r="G105" s="6" t="str">
        <f t="shared" si="127"/>
        <v/>
      </c>
      <c r="H105" s="1" t="str">
        <f t="shared" si="125"/>
        <v/>
      </c>
      <c r="I105" s="6" t="str">
        <f t="shared" si="126"/>
        <v/>
      </c>
    </row>
    <row r="106" spans="1:10" x14ac:dyDescent="0.25">
      <c r="A106" t="str">
        <f t="shared" si="123"/>
        <v/>
      </c>
      <c r="B106" s="34"/>
      <c r="C106" s="36" t="str">
        <f t="shared" si="120"/>
        <v/>
      </c>
      <c r="D106" t="str">
        <f t="shared" si="121"/>
        <v/>
      </c>
      <c r="E106" t="str">
        <f t="shared" si="122"/>
        <v/>
      </c>
      <c r="F106" s="2" t="str">
        <f t="shared" si="124"/>
        <v/>
      </c>
      <c r="G106" s="6" t="str">
        <f t="shared" si="127"/>
        <v/>
      </c>
      <c r="H106" s="1" t="str">
        <f t="shared" si="125"/>
        <v/>
      </c>
      <c r="I106" s="6" t="str">
        <f t="shared" si="126"/>
        <v/>
      </c>
    </row>
    <row r="107" spans="1:10" x14ac:dyDescent="0.25">
      <c r="A107" t="str">
        <f t="shared" si="123"/>
        <v/>
      </c>
      <c r="B107" s="34"/>
      <c r="C107" s="36" t="str">
        <f t="shared" si="120"/>
        <v/>
      </c>
      <c r="D107" t="str">
        <f t="shared" si="121"/>
        <v/>
      </c>
      <c r="E107" t="str">
        <f t="shared" si="122"/>
        <v/>
      </c>
      <c r="F107" s="2" t="str">
        <f t="shared" si="124"/>
        <v/>
      </c>
      <c r="G107" s="6" t="str">
        <f t="shared" si="127"/>
        <v/>
      </c>
      <c r="H107" s="1" t="str">
        <f t="shared" si="125"/>
        <v/>
      </c>
      <c r="I107" s="6" t="str">
        <f t="shared" si="126"/>
        <v/>
      </c>
    </row>
    <row r="108" spans="1:10" x14ac:dyDescent="0.25">
      <c r="A108" t="str">
        <f t="shared" si="123"/>
        <v/>
      </c>
      <c r="B108" s="34"/>
      <c r="C108" s="36" t="str">
        <f t="shared" si="120"/>
        <v/>
      </c>
      <c r="D108" t="str">
        <f t="shared" si="121"/>
        <v/>
      </c>
      <c r="E108" t="str">
        <f t="shared" si="122"/>
        <v/>
      </c>
      <c r="F108" s="2" t="str">
        <f t="shared" si="124"/>
        <v/>
      </c>
      <c r="G108" s="6" t="str">
        <f t="shared" si="127"/>
        <v/>
      </c>
      <c r="H108" s="1" t="str">
        <f t="shared" si="125"/>
        <v/>
      </c>
      <c r="I108" s="6" t="str">
        <f t="shared" si="126"/>
        <v/>
      </c>
    </row>
    <row r="109" spans="1:10" x14ac:dyDescent="0.25">
      <c r="A109" t="str">
        <f t="shared" si="123"/>
        <v/>
      </c>
      <c r="B109" s="34"/>
      <c r="C109" s="36" t="str">
        <f t="shared" si="120"/>
        <v/>
      </c>
      <c r="D109" t="str">
        <f t="shared" si="121"/>
        <v/>
      </c>
      <c r="E109" t="str">
        <f t="shared" si="122"/>
        <v/>
      </c>
      <c r="F109" s="2" t="str">
        <f t="shared" si="124"/>
        <v/>
      </c>
      <c r="G109" s="6" t="str">
        <f t="shared" si="127"/>
        <v/>
      </c>
      <c r="H109" s="1" t="str">
        <f t="shared" si="125"/>
        <v/>
      </c>
      <c r="I109" s="6" t="str">
        <f t="shared" si="126"/>
        <v/>
      </c>
    </row>
    <row r="110" spans="1:10" x14ac:dyDescent="0.25">
      <c r="A110" t="str">
        <f t="shared" si="123"/>
        <v/>
      </c>
      <c r="B110" s="34"/>
      <c r="C110" s="36" t="str">
        <f t="shared" si="120"/>
        <v/>
      </c>
      <c r="D110" t="str">
        <f t="shared" si="121"/>
        <v/>
      </c>
      <c r="E110" t="str">
        <f t="shared" si="122"/>
        <v/>
      </c>
      <c r="F110" s="2" t="str">
        <f t="shared" si="124"/>
        <v/>
      </c>
      <c r="G110" s="6" t="str">
        <f t="shared" si="127"/>
        <v/>
      </c>
      <c r="H110" s="1" t="str">
        <f t="shared" si="125"/>
        <v/>
      </c>
      <c r="I110" s="6" t="str">
        <f t="shared" si="126"/>
        <v/>
      </c>
    </row>
    <row r="111" spans="1:10" x14ac:dyDescent="0.25">
      <c r="A111" t="str">
        <f t="shared" si="123"/>
        <v/>
      </c>
      <c r="B111" s="34"/>
      <c r="C111" s="36" t="str">
        <f t="shared" si="120"/>
        <v/>
      </c>
      <c r="D111" t="str">
        <f t="shared" si="121"/>
        <v/>
      </c>
      <c r="E111" t="str">
        <f t="shared" si="122"/>
        <v/>
      </c>
      <c r="F111" s="2" t="str">
        <f t="shared" si="124"/>
        <v/>
      </c>
      <c r="G111" s="6" t="str">
        <f t="shared" si="127"/>
        <v/>
      </c>
      <c r="H111" s="1" t="str">
        <f t="shared" si="125"/>
        <v/>
      </c>
      <c r="I111" s="6" t="str">
        <f t="shared" si="126"/>
        <v/>
      </c>
    </row>
    <row r="112" spans="1:10" x14ac:dyDescent="0.25">
      <c r="A112" t="str">
        <f t="shared" si="123"/>
        <v/>
      </c>
      <c r="B112" s="34"/>
      <c r="C112" s="36" t="str">
        <f t="shared" si="120"/>
        <v/>
      </c>
      <c r="D112" t="str">
        <f t="shared" si="121"/>
        <v/>
      </c>
      <c r="E112" t="str">
        <f t="shared" si="122"/>
        <v/>
      </c>
      <c r="F112" s="2" t="str">
        <f t="shared" si="124"/>
        <v/>
      </c>
      <c r="G112" s="6" t="str">
        <f t="shared" si="127"/>
        <v/>
      </c>
      <c r="H112" s="1" t="str">
        <f t="shared" si="125"/>
        <v/>
      </c>
      <c r="I112" s="6" t="str">
        <f t="shared" si="126"/>
        <v/>
      </c>
    </row>
    <row r="113" spans="1:9" x14ac:dyDescent="0.25">
      <c r="A113" s="3" t="str">
        <f t="shared" si="123"/>
        <v/>
      </c>
      <c r="B113" s="35"/>
      <c r="C113" s="37" t="str">
        <f t="shared" si="120"/>
        <v/>
      </c>
      <c r="D113" s="4" t="str">
        <f t="shared" si="121"/>
        <v/>
      </c>
      <c r="E113" s="4" t="str">
        <f t="shared" si="122"/>
        <v/>
      </c>
      <c r="F113" s="5" t="str">
        <f t="shared" si="124"/>
        <v/>
      </c>
      <c r="G113" s="7" t="str">
        <f t="shared" si="127"/>
        <v/>
      </c>
      <c r="H113" s="3" t="str">
        <f t="shared" si="125"/>
        <v/>
      </c>
      <c r="I113" s="7" t="str">
        <f t="shared" si="126"/>
        <v/>
      </c>
    </row>
  </sheetData>
  <protectedRanges>
    <protectedRange algorithmName="SHA-512" hashValue="bGa0JHQvuAvS+CIKGv4h6jxolT8syN9swMMb451WFHyAfk57McW5GwQA1RhbORj5hvniJGuL62PrVv3pdjc9ww==" saltValue="aXftsKeSpNlupgcWY0GXTg==" spinCount="100000" sqref="A1:B1 A3:B3 I2 C3:I4 A5:I13" name="Range3"/>
    <protectedRange algorithmName="SHA-512" hashValue="GVv/MFTYnzm2lGIO/toeDUhxlXEj/JT0+gtwYcZI6livqgjUdI6GC9lrLPfm74cWjSCosISZOBjmOmtnl1jsOQ==" saltValue="k9KQjEAyaB/UH2kENNskWw==" spinCount="100000" sqref="AQ1:AQ12" name="Range2"/>
    <protectedRange algorithmName="SHA-512" hashValue="E9NtTKm8hxMbrMYlbkIXZmanQ/4KOhF0dVJVFCvuAm2cYeMZZYXGd/nw/svg50JGWpIgHECvS8brQLRl3kGwtw==" saltValue="NZ/xnAUFeS5d9MJ61UEUvw==" spinCount="100000" sqref="R32:R43 R49:R60 R66:R77 R16:R27 B78" name="Range1_3"/>
    <protectedRange algorithmName="SHA-512" hashValue="E9NtTKm8hxMbrMYlbkIXZmanQ/4KOhF0dVJVFCvuAm2cYeMZZYXGd/nw/svg50JGWpIgHECvS8brQLRl3kGwtw==" saltValue="NZ/xnAUFeS5d9MJ61UEUvw==" spinCount="100000" sqref="B77" name="Range1_5"/>
    <protectedRange algorithmName="SHA-512" hashValue="E9NtTKm8hxMbrMYlbkIXZmanQ/4KOhF0dVJVFCvuAm2cYeMZZYXGd/nw/svg50JGWpIgHECvS8brQLRl3kGwtw==" saltValue="NZ/xnAUFeS5d9MJ61UEUvw==" spinCount="100000" sqref="B50:B60" name="Range1_10"/>
    <protectedRange algorithmName="SHA-512" hashValue="E9NtTKm8hxMbrMYlbkIXZmanQ/4KOhF0dVJVFCvuAm2cYeMZZYXGd/nw/svg50JGWpIgHECvS8brQLRl3kGwtw==" saltValue="NZ/xnAUFeS5d9MJ61UEUvw==" spinCount="100000" sqref="B27:B30" name="Range1"/>
    <protectedRange algorithmName="SHA-512" hashValue="E9NtTKm8hxMbrMYlbkIXZmanQ/4KOhF0dVJVFCvuAm2cYeMZZYXGd/nw/svg50JGWpIgHECvS8brQLRl3kGwtw==" saltValue="NZ/xnAUFeS5d9MJ61UEUvw==" spinCount="100000" sqref="B33:B46" name="Range1_1"/>
    <protectedRange algorithmName="SHA-512" hashValue="E9NtTKm8hxMbrMYlbkIXZmanQ/4KOhF0dVJVFCvuAm2cYeMZZYXGd/nw/svg50JGWpIgHECvS8brQLRl3kGwtw==" saltValue="NZ/xnAUFeS5d9MJ61UEUvw==" spinCount="100000" sqref="B67:B76" name="Range1_2"/>
    <protectedRange algorithmName="SHA-512" hashValue="E9NtTKm8hxMbrMYlbkIXZmanQ/4KOhF0dVJVFCvuAm2cYeMZZYXGd/nw/svg50JGWpIgHECvS8brQLRl3kGwtw==" saltValue="NZ/xnAUFeS5d9MJ61UEUvw==" spinCount="100000" sqref="B16 B19:B26" name="Range1_4"/>
  </protectedRanges>
  <mergeCells count="1">
    <mergeCell ref="M31:M41"/>
  </mergeCells>
  <phoneticPr fontId="19" type="noConversion"/>
  <conditionalFormatting sqref="M31:M41">
    <cfRule type="containsText" dxfId="7" priority="7" operator="containsText" text="CARE, BASIS ISSUE">
      <formula>NOT(ISERROR(SEARCH("CARE, BASIS ISSUE",M31)))</formula>
    </cfRule>
    <cfRule type="cellIs" dxfId="6" priority="8" operator="equal">
      <formula>"""CARE, NOT THE SAME BASIS"""</formula>
    </cfRule>
  </conditionalFormatting>
  <conditionalFormatting sqref="R4:R13">
    <cfRule type="notContainsBlanks" dxfId="5" priority="5">
      <formula>LEN(TRIM(R4))&gt;0</formula>
    </cfRule>
    <cfRule type="containsText" dxfId="4" priority="6" operator="containsText" text="MINE/YOURS">
      <formula>NOT(ISERROR(SEARCH("MINE/YOURS",R4)))</formula>
    </cfRule>
  </conditionalFormatting>
  <conditionalFormatting sqref="S17:S28 S33:S45 S50:S63 S67:S78">
    <cfRule type="containsText" dxfId="3" priority="3" operator="containsText" text="Worse">
      <formula>NOT(ISERROR(SEARCH("Worse",S17)))</formula>
    </cfRule>
    <cfRule type="containsText" dxfId="2" priority="4" operator="containsText" text="Better">
      <formula>NOT(ISERROR(SEARCH("Better",S17)))</formula>
    </cfRule>
  </conditionalFormatting>
  <conditionalFormatting sqref="K1:K28 K32:K45 K83:K97 K101:K1048576 K47:K81">
    <cfRule type="containsText" dxfId="1" priority="1" operator="containsText" text="Best">
      <formula>NOT(ISERROR(SEARCH("Best",K1)))</formula>
    </cfRule>
    <cfRule type="containsText" dxfId="0" priority="2" operator="containsText" text="&quot;Best&quot;">
      <formula>NOT(ISERROR(SEARCH("""Best""",K1)))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pournous">
                <anchor moveWithCells="1" sizeWithCells="1">
                  <from>
                    <xdr:col>16</xdr:col>
                    <xdr:colOff>142875</xdr:colOff>
                    <xdr:row>16</xdr:row>
                    <xdr:rowOff>28575</xdr:rowOff>
                  </from>
                  <to>
                    <xdr:col>16</xdr:col>
                    <xdr:colOff>1219200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poureux">
                <anchor moveWithCells="1" sizeWithCells="1">
                  <from>
                    <xdr:col>16</xdr:col>
                    <xdr:colOff>114300</xdr:colOff>
                    <xdr:row>20</xdr:row>
                    <xdr:rowOff>57150</xdr:rowOff>
                  </from>
                  <to>
                    <xdr:col>16</xdr:col>
                    <xdr:colOff>1190625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pourdem">
                <anchor moveWithCells="1" sizeWithCells="1">
                  <from>
                    <xdr:col>16</xdr:col>
                    <xdr:colOff>57150</xdr:colOff>
                    <xdr:row>24</xdr:row>
                    <xdr:rowOff>95250</xdr:rowOff>
                  </from>
                  <to>
                    <xdr:col>16</xdr:col>
                    <xdr:colOff>1200150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_xludf.Clear">
                <anchor moveWithCells="1" sizeWithCells="1">
                  <from>
                    <xdr:col>42</xdr:col>
                    <xdr:colOff>1104900</xdr:colOff>
                    <xdr:row>23</xdr:row>
                    <xdr:rowOff>114300</xdr:rowOff>
                  </from>
                  <to>
                    <xdr:col>43</xdr:col>
                    <xdr:colOff>47625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11E48-18DC-45D3-BDEB-1ABB0D03C76C}">
  <sheetPr codeName="Sheet2"/>
  <dimension ref="A1:M23"/>
  <sheetViews>
    <sheetView workbookViewId="0">
      <selection activeCell="K2" sqref="K2"/>
    </sheetView>
  </sheetViews>
  <sheetFormatPr defaultRowHeight="15" x14ac:dyDescent="0.25"/>
  <cols>
    <col min="1" max="1" width="28" customWidth="1"/>
    <col min="3" max="3" width="26" customWidth="1"/>
    <col min="4" max="4" width="11.5703125" customWidth="1"/>
    <col min="5" max="5" width="5" hidden="1" customWidth="1"/>
    <col min="6" max="6" width="28.42578125" customWidth="1"/>
    <col min="7" max="7" width="5" hidden="1" customWidth="1"/>
    <col min="8" max="8" width="10.7109375" customWidth="1"/>
    <col min="9" max="9" width="27.140625" customWidth="1"/>
    <col min="10" max="10" width="19.85546875" customWidth="1"/>
    <col min="11" max="11" width="28.140625" customWidth="1"/>
    <col min="12" max="12" width="24.7109375" customWidth="1"/>
    <col min="13" max="13" width="6.7109375" customWidth="1"/>
    <col min="15" max="15" width="27.85546875" customWidth="1"/>
  </cols>
  <sheetData>
    <row r="1" spans="1:13" ht="15.75" thickTop="1" x14ac:dyDescent="0.25">
      <c r="A1" s="52" t="s">
        <v>34</v>
      </c>
      <c r="C1" s="48" t="s">
        <v>33</v>
      </c>
      <c r="F1" s="49" t="s">
        <v>27</v>
      </c>
      <c r="I1" s="50" t="s">
        <v>31</v>
      </c>
      <c r="K1" s="51" t="s">
        <v>32</v>
      </c>
      <c r="M1" s="54" t="s">
        <v>28</v>
      </c>
    </row>
    <row r="2" spans="1:13" x14ac:dyDescent="0.25">
      <c r="A2" s="6" t="str">
        <f>LEFT($F2,FIND("vs",$F2)+2) &amp; RIGHT($F2,LEN($F2)-FIND("vs",$F2)-2) - 0.25</f>
        <v>SX5E TRF vs.0.375</v>
      </c>
      <c r="C2" s="47" t="str">
        <f>LEFT($F2,FIND("vs",$F2)+2) &amp; RIGHT($F2,LEN($F2)-FIND("vs",$F2)-2) - 0.125</f>
        <v>SX5E TRF vs.0.5</v>
      </c>
      <c r="F2" s="33" t="s">
        <v>71</v>
      </c>
      <c r="I2" s="47" t="str">
        <f>LEFT($F2,FIND("vs",$F2)+2) &amp; RIGHT($F2,LEN($F2)-FIND("vs",$F2)-2) + 0.125</f>
        <v>SX5E TRF vs.0.75</v>
      </c>
      <c r="K2" s="47" t="str">
        <f>LEFT($F2,FIND("vs",$F2)+2) &amp; RIGHT($F2,LEN($F2)-FIND("vs",$F2)-2) + 0.25</f>
        <v>SX5E TRF vs.0.875</v>
      </c>
      <c r="M2" s="53">
        <v>1</v>
      </c>
    </row>
    <row r="3" spans="1:13" x14ac:dyDescent="0.25">
      <c r="A3" s="6"/>
      <c r="C3" s="6"/>
      <c r="I3" s="6"/>
      <c r="K3" s="6"/>
      <c r="M3" s="53">
        <v>2</v>
      </c>
    </row>
    <row r="4" spans="1:13" x14ac:dyDescent="0.25">
      <c r="A4" s="6" t="str">
        <f>LEFT(F4,FIND(" ",F4))&amp;E4- 0.25*M$2 &amp; " / " &amp; G4 - 0.25*M$2</f>
        <v>Dec23 15.25 / 17.25</v>
      </c>
      <c r="C4" s="6" t="str">
        <f>LEFT(F4,FIND(" ",F4))&amp;E4- 0.125*M$2 &amp; " / " &amp; G4 - 0.125*M$2</f>
        <v>Dec23 15.375 / 17.375</v>
      </c>
      <c r="E4">
        <f t="shared" ref="E4:E12" si="0">IF(F4="","",IFERROR(IFERROR(VALUE(SUBSTITUTE(MID(F4,FIND(" ",F4),FIND("/",F4)-FIND(" ",F4))," ","")),IF(FIND("B",UPPER(F4)),VALUE(MID(F4,FIND(" ",F4),FIND("B",UPPER(F4))-FIND(" ",F4))),"")),""))</f>
        <v>15.5</v>
      </c>
      <c r="F4" s="34" t="s">
        <v>72</v>
      </c>
      <c r="G4">
        <f t="shared" ref="G4:G12" si="1">IF(F4="","",IFERROR(IFERROR(VALUE(SUBSTITUTE(RIGHT(F4,LEN(F4)-FIND("/",F4))," ","")),IF(FIND("O",UPPER(F4)),VALUE(MID(F4,FIND(" ",F4),FIND("O",UPPER(F4))-FIND(" ",F4))),"")),""))</f>
        <v>17.5</v>
      </c>
      <c r="I4" s="6" t="str">
        <f>LEFT(F4,FIND(" ",F4))&amp;E4 + 0.125 &amp; " / " &amp; G4 + 0.125</f>
        <v>Dec23 15.625 / 17.625</v>
      </c>
      <c r="K4" s="6" t="str">
        <f>LEFT(F4,FIND(" ",F4))&amp;E4+ 0.25*M$2 &amp; " / " &amp; G4 + 0.25*M$2</f>
        <v>Dec23 15.75 / 17.75</v>
      </c>
      <c r="M4" s="53">
        <v>3</v>
      </c>
    </row>
    <row r="5" spans="1:13" x14ac:dyDescent="0.25">
      <c r="A5" s="6" t="str">
        <f t="shared" ref="A5:A13" si="2">LEFT(F5,FIND(" ",F5))&amp;E5- 0.25*M$2 &amp; " / " &amp; G5 - 0.25*M$2</f>
        <v>Dec24 21.75 / 23.75</v>
      </c>
      <c r="C5" s="6" t="str">
        <f t="shared" ref="C5:C13" si="3">LEFT(F5,FIND(" ",F5))&amp;E5- 0.125*M$2 &amp; " / " &amp; G5 - 0.125*M$2</f>
        <v>Dec24 21.875 / 23.875</v>
      </c>
      <c r="E5">
        <f t="shared" si="0"/>
        <v>22</v>
      </c>
      <c r="F5" s="34" t="s">
        <v>73</v>
      </c>
      <c r="G5">
        <f t="shared" si="1"/>
        <v>24</v>
      </c>
      <c r="I5" s="6" t="str">
        <f t="shared" ref="I5:I13" si="4">LEFT(F5,FIND(" ",F5))&amp;E5 + 0.125 &amp; " / " &amp; G5 + 0.125</f>
        <v>Dec24 22.125 / 24.125</v>
      </c>
      <c r="K5" s="6" t="str">
        <f t="shared" ref="K5:K13" si="5">LEFT(F5,FIND(" ",F5))&amp;E5+ 0.25*M$2 &amp; " / " &amp; G5 + 0.25*M$2</f>
        <v>Dec24 22.25 / 24.25</v>
      </c>
      <c r="M5" s="53">
        <v>4</v>
      </c>
    </row>
    <row r="6" spans="1:13" x14ac:dyDescent="0.25">
      <c r="A6" s="6" t="str">
        <f t="shared" si="2"/>
        <v>Dec25 29.25 / 31.25</v>
      </c>
      <c r="C6" s="6" t="str">
        <f t="shared" si="3"/>
        <v>Dec25 29.375 / 31.375</v>
      </c>
      <c r="E6">
        <f t="shared" si="0"/>
        <v>29.5</v>
      </c>
      <c r="F6" s="34" t="s">
        <v>70</v>
      </c>
      <c r="G6">
        <f t="shared" si="1"/>
        <v>31.5</v>
      </c>
      <c r="I6" s="6" t="str">
        <f t="shared" si="4"/>
        <v>Dec25 29.625 / 31.625</v>
      </c>
      <c r="K6" s="6" t="str">
        <f t="shared" si="5"/>
        <v>Dec25 29.75 / 31.75</v>
      </c>
      <c r="M6" s="53">
        <v>5</v>
      </c>
    </row>
    <row r="7" spans="1:13" x14ac:dyDescent="0.25">
      <c r="A7" s="6" t="str">
        <f t="shared" si="2"/>
        <v>Dec26 35.75 / 37.75</v>
      </c>
      <c r="C7" s="6" t="str">
        <f t="shared" si="3"/>
        <v>Dec26 35.875 / 37.875</v>
      </c>
      <c r="E7">
        <f t="shared" si="0"/>
        <v>36</v>
      </c>
      <c r="F7" s="34" t="s">
        <v>74</v>
      </c>
      <c r="G7">
        <f t="shared" si="1"/>
        <v>38</v>
      </c>
      <c r="I7" s="6" t="str">
        <f t="shared" si="4"/>
        <v>Dec26 36.125 / 38.125</v>
      </c>
      <c r="K7" s="6" t="str">
        <f t="shared" si="5"/>
        <v>Dec26 36.25 / 38.25</v>
      </c>
      <c r="M7" s="53">
        <v>6</v>
      </c>
    </row>
    <row r="8" spans="1:13" x14ac:dyDescent="0.25">
      <c r="A8" s="6" t="str">
        <f t="shared" si="2"/>
        <v>Dec27 42.25 / 44.25</v>
      </c>
      <c r="C8" s="6" t="str">
        <f t="shared" si="3"/>
        <v>Dec27 42.375 / 44.375</v>
      </c>
      <c r="E8">
        <f t="shared" si="0"/>
        <v>42.5</v>
      </c>
      <c r="F8" s="34" t="s">
        <v>75</v>
      </c>
      <c r="G8">
        <f t="shared" si="1"/>
        <v>44.5</v>
      </c>
      <c r="I8" s="6" t="str">
        <f t="shared" si="4"/>
        <v>Dec27 42.625 / 44.625</v>
      </c>
      <c r="K8" s="6" t="str">
        <f t="shared" si="5"/>
        <v>Dec27 42.75 / 44.75</v>
      </c>
      <c r="M8" s="53">
        <v>7</v>
      </c>
    </row>
    <row r="9" spans="1:13" x14ac:dyDescent="0.25">
      <c r="A9" s="6" t="str">
        <f t="shared" si="2"/>
        <v>Dec28 49.75 / 51.75</v>
      </c>
      <c r="C9" s="6" t="str">
        <f t="shared" si="3"/>
        <v>Dec28 49.875 / 51.875</v>
      </c>
      <c r="E9">
        <f t="shared" si="0"/>
        <v>50</v>
      </c>
      <c r="F9" s="34" t="s">
        <v>76</v>
      </c>
      <c r="G9">
        <f t="shared" si="1"/>
        <v>52</v>
      </c>
      <c r="I9" s="6" t="str">
        <f t="shared" si="4"/>
        <v>Dec28 50.125 / 52.125</v>
      </c>
      <c r="K9" s="6" t="str">
        <f t="shared" si="5"/>
        <v>Dec28 50.25 / 52.25</v>
      </c>
      <c r="M9" s="53">
        <v>8</v>
      </c>
    </row>
    <row r="10" spans="1:13" x14ac:dyDescent="0.25">
      <c r="A10" s="6" t="str">
        <f t="shared" si="2"/>
        <v>Dec29 54.75 / 58.75</v>
      </c>
      <c r="C10" s="6" t="str">
        <f t="shared" si="3"/>
        <v>Dec29 54.875 / 58.875</v>
      </c>
      <c r="E10">
        <f t="shared" si="0"/>
        <v>55</v>
      </c>
      <c r="F10" s="34" t="s">
        <v>77</v>
      </c>
      <c r="G10">
        <f t="shared" si="1"/>
        <v>59</v>
      </c>
      <c r="I10" s="6" t="str">
        <f t="shared" si="4"/>
        <v>Dec29 55.125 / 59.125</v>
      </c>
      <c r="K10" s="6" t="str">
        <f t="shared" si="5"/>
        <v>Dec29 55.25 / 59.25</v>
      </c>
      <c r="M10" s="53">
        <v>9</v>
      </c>
    </row>
    <row r="11" spans="1:13" x14ac:dyDescent="0.25">
      <c r="A11" s="6" t="str">
        <f t="shared" si="2"/>
        <v>Dec30 60.75 / 64.75</v>
      </c>
      <c r="C11" s="6" t="str">
        <f t="shared" si="3"/>
        <v>Dec30 60.875 / 64.875</v>
      </c>
      <c r="E11">
        <f t="shared" si="0"/>
        <v>61</v>
      </c>
      <c r="F11" s="34" t="s">
        <v>78</v>
      </c>
      <c r="G11">
        <f t="shared" si="1"/>
        <v>65</v>
      </c>
      <c r="I11" s="6" t="str">
        <f t="shared" si="4"/>
        <v>Dec30 61.125 / 65.125</v>
      </c>
      <c r="K11" s="6" t="str">
        <f t="shared" si="5"/>
        <v>Dec30 61.25 / 65.25</v>
      </c>
      <c r="M11" s="53">
        <v>10</v>
      </c>
    </row>
    <row r="12" spans="1:13" x14ac:dyDescent="0.25">
      <c r="A12" s="6" t="str">
        <f t="shared" si="2"/>
        <v>Dec31 68.75 / 73.75</v>
      </c>
      <c r="C12" s="6" t="str">
        <f t="shared" si="3"/>
        <v>Dec31 68.875 / 73.875</v>
      </c>
      <c r="E12">
        <f t="shared" si="0"/>
        <v>69</v>
      </c>
      <c r="F12" s="34" t="s">
        <v>79</v>
      </c>
      <c r="G12">
        <f t="shared" si="1"/>
        <v>74</v>
      </c>
      <c r="I12" s="6" t="str">
        <f t="shared" si="4"/>
        <v>Dec31 69.125 / 74.125</v>
      </c>
      <c r="K12" s="6" t="str">
        <f t="shared" si="5"/>
        <v>Dec31 69.25 / 74.25</v>
      </c>
      <c r="M12" s="53"/>
    </row>
    <row r="13" spans="1:13" x14ac:dyDescent="0.25">
      <c r="A13" s="7" t="e">
        <f t="shared" si="2"/>
        <v>#VALUE!</v>
      </c>
      <c r="C13" s="7" t="e">
        <f t="shared" si="3"/>
        <v>#VALUE!</v>
      </c>
      <c r="E13" t="str">
        <f t="shared" ref="E13" si="6">IF(F13="","",IFERROR(IFERROR(VALUE(SUBSTITUTE(MID(F13,FIND(" ",F13),FIND("/",F13)-FIND(" ",F13))," ","")),IF(FIND("B",UPPER(F13)),VALUE(MID(F13,FIND(" ",F13),FIND("B",UPPER(F13))-FIND(" ",F13))),"")),""))</f>
        <v/>
      </c>
      <c r="F13" s="7"/>
      <c r="G13" t="str">
        <f t="shared" ref="G13" si="7">IF(F13="","",IFERROR(IFERROR(VALUE(SUBSTITUTE(RIGHT(F13,LEN(F13)-FIND("/",F13))," ","")),IF(FIND("O",UPPER(F13)),VALUE(MID(F13,FIND(" ",F13),FIND("O",UPPER(F13))-FIND(" ",F13))),"")),""))</f>
        <v/>
      </c>
      <c r="I13" s="7" t="e">
        <f t="shared" si="4"/>
        <v>#VALUE!</v>
      </c>
      <c r="K13" s="7" t="e">
        <f t="shared" si="5"/>
        <v>#VALUE!</v>
      </c>
      <c r="M13" s="53"/>
    </row>
    <row r="15" spans="1:13" x14ac:dyDescent="0.25">
      <c r="A15" s="138" t="s">
        <v>25</v>
      </c>
      <c r="B15" s="139"/>
      <c r="C15" s="140"/>
      <c r="I15" s="141" t="s">
        <v>26</v>
      </c>
      <c r="J15" s="139"/>
      <c r="K15" s="140"/>
    </row>
    <row r="21" spans="6:6" x14ac:dyDescent="0.25">
      <c r="F21" s="20"/>
    </row>
    <row r="22" spans="6:6" x14ac:dyDescent="0.25">
      <c r="F22" s="20" t="s">
        <v>29</v>
      </c>
    </row>
    <row r="23" spans="6:6" x14ac:dyDescent="0.25">
      <c r="F23" s="20" t="s">
        <v>30</v>
      </c>
    </row>
  </sheetData>
  <protectedRanges>
    <protectedRange algorithmName="SHA-512" hashValue="E9NtTKm8hxMbrMYlbkIXZmanQ/4KOhF0dVJVFCvuAm2cYeMZZYXGd/nw/svg50JGWpIgHECvS8brQLRl3kGwtw==" saltValue="NZ/xnAUFeS5d9MJ61UEUvw==" spinCount="100000" sqref="F2:F12" name="Range1"/>
  </protectedRanges>
  <mergeCells count="2">
    <mergeCell ref="A15:C15"/>
    <mergeCell ref="I15:K1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61062-7A15-4BA1-9AA1-36A227706FC7}">
  <sheetPr codeName="Sheet1"/>
  <dimension ref="A1:T31"/>
  <sheetViews>
    <sheetView topLeftCell="A17" workbookViewId="0">
      <selection activeCell="P51" sqref="P51"/>
    </sheetView>
  </sheetViews>
  <sheetFormatPr defaultRowHeight="15" x14ac:dyDescent="0.25"/>
  <cols>
    <col min="1" max="1" width="21.5703125" bestFit="1" customWidth="1"/>
    <col min="4" max="4" width="11.28515625" customWidth="1"/>
    <col min="9" max="9" width="30" bestFit="1" customWidth="1"/>
    <col min="11" max="11" width="15.42578125" customWidth="1"/>
    <col min="16" max="16" width="14.28515625" bestFit="1" customWidth="1"/>
  </cols>
  <sheetData>
    <row r="1" spans="1:20" x14ac:dyDescent="0.25">
      <c r="A1" t="s">
        <v>54</v>
      </c>
      <c r="B1" t="s">
        <v>59</v>
      </c>
      <c r="D1" t="s">
        <v>55</v>
      </c>
      <c r="F1" t="s">
        <v>62</v>
      </c>
      <c r="I1" t="s">
        <v>67</v>
      </c>
    </row>
    <row r="2" spans="1:20" x14ac:dyDescent="0.25">
      <c r="A2" s="78" t="s">
        <v>57</v>
      </c>
      <c r="B2" s="78" t="s">
        <v>60</v>
      </c>
      <c r="D2" s="78" t="s">
        <v>61</v>
      </c>
      <c r="F2" s="78" t="s">
        <v>63</v>
      </c>
    </row>
    <row r="3" spans="1:20" x14ac:dyDescent="0.25">
      <c r="A3" s="78" t="s">
        <v>58</v>
      </c>
      <c r="B3" s="36"/>
      <c r="D3" s="142" t="s">
        <v>68</v>
      </c>
      <c r="E3" s="142"/>
      <c r="F3" s="142"/>
      <c r="G3" s="78"/>
    </row>
    <row r="4" spans="1:20" x14ac:dyDescent="0.25">
      <c r="B4" s="36"/>
      <c r="D4" s="78" t="s">
        <v>66</v>
      </c>
      <c r="F4" s="78" t="s">
        <v>64</v>
      </c>
      <c r="I4" s="78" t="s">
        <v>69</v>
      </c>
    </row>
    <row r="5" spans="1:20" x14ac:dyDescent="0.25">
      <c r="B5" s="36"/>
      <c r="D5" s="78"/>
      <c r="F5" s="78" t="s">
        <v>65</v>
      </c>
      <c r="M5" t="s">
        <v>90</v>
      </c>
      <c r="R5" t="s">
        <v>80</v>
      </c>
      <c r="T5" t="s">
        <v>81</v>
      </c>
    </row>
    <row r="6" spans="1:20" x14ac:dyDescent="0.25">
      <c r="B6" s="36"/>
    </row>
    <row r="7" spans="1:20" x14ac:dyDescent="0.25">
      <c r="B7" s="78"/>
      <c r="M7" t="s">
        <v>91</v>
      </c>
      <c r="R7" t="s">
        <v>82</v>
      </c>
    </row>
    <row r="8" spans="1:20" x14ac:dyDescent="0.25">
      <c r="A8" t="s">
        <v>80</v>
      </c>
      <c r="B8" s="77"/>
      <c r="M8" t="s">
        <v>92</v>
      </c>
      <c r="R8" t="s">
        <v>83</v>
      </c>
    </row>
    <row r="9" spans="1:20" x14ac:dyDescent="0.25">
      <c r="B9" s="78"/>
      <c r="M9" t="s">
        <v>93</v>
      </c>
    </row>
    <row r="10" spans="1:20" x14ac:dyDescent="0.25">
      <c r="A10" t="s">
        <v>81</v>
      </c>
      <c r="B10" s="78"/>
      <c r="M10" t="s">
        <v>86</v>
      </c>
      <c r="R10" t="s">
        <v>84</v>
      </c>
    </row>
    <row r="11" spans="1:20" x14ac:dyDescent="0.25">
      <c r="M11" t="s">
        <v>94</v>
      </c>
      <c r="R11" t="s">
        <v>85</v>
      </c>
    </row>
    <row r="12" spans="1:20" x14ac:dyDescent="0.25">
      <c r="A12" t="s">
        <v>82</v>
      </c>
      <c r="R12" t="s">
        <v>86</v>
      </c>
    </row>
    <row r="13" spans="1:20" x14ac:dyDescent="0.25">
      <c r="A13" t="s">
        <v>83</v>
      </c>
      <c r="R13" t="s">
        <v>87</v>
      </c>
    </row>
    <row r="14" spans="1:20" x14ac:dyDescent="0.25">
      <c r="L14" t="s">
        <v>59</v>
      </c>
      <c r="M14" t="s">
        <v>95</v>
      </c>
      <c r="N14" t="s">
        <v>96</v>
      </c>
      <c r="O14" t="s">
        <v>97</v>
      </c>
    </row>
    <row r="15" spans="1:20" x14ac:dyDescent="0.25">
      <c r="A15" s="20" t="s">
        <v>84</v>
      </c>
      <c r="L15" t="s">
        <v>108</v>
      </c>
      <c r="O15" s="78" t="s">
        <v>110</v>
      </c>
    </row>
    <row r="16" spans="1:20" x14ac:dyDescent="0.25">
      <c r="A16" t="s">
        <v>85</v>
      </c>
      <c r="M16" s="78"/>
      <c r="O16" s="78" t="s">
        <v>109</v>
      </c>
    </row>
    <row r="17" spans="1:10" x14ac:dyDescent="0.25">
      <c r="A17" t="s">
        <v>86</v>
      </c>
    </row>
    <row r="18" spans="1:10" x14ac:dyDescent="0.25">
      <c r="A18" t="s">
        <v>87</v>
      </c>
      <c r="I18" s="20" t="s">
        <v>98</v>
      </c>
      <c r="J18">
        <v>1717</v>
      </c>
    </row>
    <row r="19" spans="1:10" x14ac:dyDescent="0.25">
      <c r="I19" s="20" t="s">
        <v>99</v>
      </c>
      <c r="J19">
        <f>573.97+1065.55</f>
        <v>1639.52</v>
      </c>
    </row>
    <row r="20" spans="1:10" x14ac:dyDescent="0.25">
      <c r="E20" s="78"/>
      <c r="I20" s="20" t="s">
        <v>101</v>
      </c>
      <c r="J20">
        <f>J18-J19</f>
        <v>77.480000000000018</v>
      </c>
    </row>
    <row r="21" spans="1:10" x14ac:dyDescent="0.25">
      <c r="A21" t="s">
        <v>88</v>
      </c>
    </row>
    <row r="22" spans="1:10" x14ac:dyDescent="0.25">
      <c r="I22" s="20" t="s">
        <v>100</v>
      </c>
      <c r="J22">
        <v>1065.55</v>
      </c>
    </row>
    <row r="23" spans="1:10" x14ac:dyDescent="0.25">
      <c r="A23" t="s">
        <v>89</v>
      </c>
      <c r="I23" s="20" t="s">
        <v>103</v>
      </c>
      <c r="J23">
        <f>J22+J20</f>
        <v>1143.03</v>
      </c>
    </row>
    <row r="24" spans="1:10" x14ac:dyDescent="0.25">
      <c r="I24" s="20" t="s">
        <v>102</v>
      </c>
      <c r="J24">
        <f>J20/J23</f>
        <v>6.7784747556932035E-2</v>
      </c>
    </row>
    <row r="26" spans="1:10" x14ac:dyDescent="0.25">
      <c r="I26" s="20" t="s">
        <v>104</v>
      </c>
      <c r="J26">
        <f>J18/20</f>
        <v>85.85</v>
      </c>
    </row>
    <row r="27" spans="1:10" x14ac:dyDescent="0.25">
      <c r="I27" s="20" t="s">
        <v>105</v>
      </c>
      <c r="J27">
        <f>J26*12</f>
        <v>1030.1999999999998</v>
      </c>
    </row>
    <row r="28" spans="1:10" x14ac:dyDescent="0.25">
      <c r="I28" s="20" t="s">
        <v>106</v>
      </c>
      <c r="J28">
        <f>J27-J27*J24</f>
        <v>960.36815306684844</v>
      </c>
    </row>
    <row r="29" spans="1:10" x14ac:dyDescent="0.25">
      <c r="I29" s="20" t="s">
        <v>101</v>
      </c>
      <c r="J29">
        <f>J27-J28</f>
        <v>69.831846933151382</v>
      </c>
    </row>
    <row r="31" spans="1:10" x14ac:dyDescent="0.25">
      <c r="I31" s="20" t="s">
        <v>107</v>
      </c>
      <c r="J31">
        <f>J20+J29</f>
        <v>147.3118469331514</v>
      </c>
    </row>
  </sheetData>
  <protectedRanges>
    <protectedRange algorithmName="SHA-512" hashValue="bGa0JHQvuAvS+CIKGv4h6jxolT8syN9swMMb451WFHyAfk57McW5GwQA1RhbORj5hvniJGuL62PrVv3pdjc9ww==" saltValue="aXftsKeSpNlupgcWY0GXTg==" spinCount="100000" sqref="A7:B10" name="Range3"/>
    <protectedRange algorithmName="SHA-512" hashValue="E9NtTKm8hxMbrMYlbkIXZmanQ/4KOhF0dVJVFCvuAm2cYeMZZYXGd/nw/svg50JGWpIgHECvS8brQLRl3kGwtw==" saltValue="NZ/xnAUFeS5d9MJ61UEUvw==" spinCount="100000" sqref="A7:B10" name="Range1"/>
  </protectedRanges>
  <mergeCells count="1">
    <mergeCell ref="D3:F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97d00f-510c-406e-8d91-d4933582bd76">
      <Terms xmlns="http://schemas.microsoft.com/office/infopath/2007/PartnerControls"/>
    </lcf76f155ced4ddcb4097134ff3c332f>
    <TaxCatchAll xmlns="6ecde16d-53b9-49a0-94e3-f4ed61f53ef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BB00DBF707954597D0907990CE2EFF" ma:contentTypeVersion="13" ma:contentTypeDescription="Create a new document." ma:contentTypeScope="" ma:versionID="95a5756b668a6a4c07a4cf5ddaba800b">
  <xsd:schema xmlns:xsd="http://www.w3.org/2001/XMLSchema" xmlns:xs="http://www.w3.org/2001/XMLSchema" xmlns:p="http://schemas.microsoft.com/office/2006/metadata/properties" xmlns:ns2="6897d00f-510c-406e-8d91-d4933582bd76" xmlns:ns3="6ecde16d-53b9-49a0-94e3-f4ed61f53efa" targetNamespace="http://schemas.microsoft.com/office/2006/metadata/properties" ma:root="true" ma:fieldsID="ddeacbc6a614e7b8d0fb866ea2d906be" ns2:_="" ns3:_="">
    <xsd:import namespace="6897d00f-510c-406e-8d91-d4933582bd76"/>
    <xsd:import namespace="6ecde16d-53b9-49a0-94e3-f4ed61f53e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97d00f-510c-406e-8d91-d4933582bd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2099c0b8-4fd8-4ab9-8483-70172a4b60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cde16d-53b9-49a0-94e3-f4ed61f53ef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b1f1870a-62ae-4f3c-99b6-3a37ecd7fc8d}" ma:internalName="TaxCatchAll" ma:showField="CatchAllData" ma:web="6ecde16d-53b9-49a0-94e3-f4ed61f53e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3BED24-0EF2-4C64-9CF3-143A37B857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039BCF-DD8D-47CF-B17D-6BDC6154475B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6897d00f-510c-406e-8d91-d4933582bd76"/>
    <ds:schemaRef ds:uri="http://purl.org/dc/elements/1.1/"/>
    <ds:schemaRef ds:uri="http://schemas.microsoft.com/office/2006/metadata/properties"/>
    <ds:schemaRef ds:uri="6ecde16d-53b9-49a0-94e3-f4ed61f53ef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E27A15F-5268-4B95-9AD1-65320EB6C0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97d00f-510c-406e-8d91-d4933582bd76"/>
    <ds:schemaRef ds:uri="6ecde16d-53b9-49a0-94e3-f4ed61f53e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Fair val</vt:lpstr>
      <vt:lpstr>TRF SX5E</vt:lpstr>
      <vt:lpstr>TRF CAC</vt:lpstr>
      <vt:lpstr>TRF FTSE (2)</vt:lpstr>
      <vt:lpstr>TRF SX5E other basis</vt:lpstr>
      <vt:lpstr>SX5E TRF delta basis</vt:lpstr>
      <vt:lpstr>Interets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Terao</dc:creator>
  <cp:lastModifiedBy>Maniteja Shivanadula</cp:lastModifiedBy>
  <dcterms:created xsi:type="dcterms:W3CDTF">2022-05-24T10:07:37Z</dcterms:created>
  <dcterms:modified xsi:type="dcterms:W3CDTF">2023-01-06T16:44:41Z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893f075-f8fe-4792-807f-b96a4de7201c_Enabled">
    <vt:lpwstr>True</vt:lpwstr>
  </property>
  <property fmtid="{D5CDD505-2E9C-101B-9397-08002B2CF9AE}" pid="3" name="MSIP_Label_0893f075-f8fe-4792-807f-b96a4de7201c_SiteId">
    <vt:lpwstr>96e17d10-a58f-4efc-acef-be3521190113</vt:lpwstr>
  </property>
  <property fmtid="{D5CDD505-2E9C-101B-9397-08002B2CF9AE}" pid="4" name="MSIP_Label_0893f075-f8fe-4792-807f-b96a4de7201c_Owner">
    <vt:lpwstr>CTerao@rjobrien.com</vt:lpwstr>
  </property>
  <property fmtid="{D5CDD505-2E9C-101B-9397-08002B2CF9AE}" pid="5" name="MSIP_Label_0893f075-f8fe-4792-807f-b96a4de7201c_SetDate">
    <vt:lpwstr>2022-05-24T10:32:02.5029736Z</vt:lpwstr>
  </property>
  <property fmtid="{D5CDD505-2E9C-101B-9397-08002B2CF9AE}" pid="6" name="MSIP_Label_0893f075-f8fe-4792-807f-b96a4de7201c_Name">
    <vt:lpwstr>General</vt:lpwstr>
  </property>
  <property fmtid="{D5CDD505-2E9C-101B-9397-08002B2CF9AE}" pid="7" name="MSIP_Label_0893f075-f8fe-4792-807f-b96a4de7201c_Application">
    <vt:lpwstr>Microsoft Azure Information Protection</vt:lpwstr>
  </property>
  <property fmtid="{D5CDD505-2E9C-101B-9397-08002B2CF9AE}" pid="8" name="MSIP_Label_0893f075-f8fe-4792-807f-b96a4de7201c_ActionId">
    <vt:lpwstr>661c48fc-8266-4bf9-aa5d-2c27d52b6513</vt:lpwstr>
  </property>
  <property fmtid="{D5CDD505-2E9C-101B-9397-08002B2CF9AE}" pid="9" name="MSIP_Label_0893f075-f8fe-4792-807f-b96a4de7201c_Extended_MSFT_Method">
    <vt:lpwstr>Automatic</vt:lpwstr>
  </property>
  <property fmtid="{D5CDD505-2E9C-101B-9397-08002B2CF9AE}" pid="10" name="Sensitivity">
    <vt:lpwstr>General</vt:lpwstr>
  </property>
  <property fmtid="{D5CDD505-2E9C-101B-9397-08002B2CF9AE}" pid="11" name="ContentTypeId">
    <vt:lpwstr>0x01010062BB00DBF707954597D0907990CE2EFF</vt:lpwstr>
  </property>
  <property fmtid="{D5CDD505-2E9C-101B-9397-08002B2CF9AE}" pid="12" name="MediaServiceImageTags">
    <vt:lpwstr/>
  </property>
</Properties>
</file>