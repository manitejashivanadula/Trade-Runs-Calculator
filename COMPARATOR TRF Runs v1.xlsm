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jotechnology.sharepoint.com/sites/EquitiesPAR/Shared Documents/Confirmations/Tools/"/>
    </mc:Choice>
  </mc:AlternateContent>
  <xr:revisionPtr revIDLastSave="72739" documentId="8_{EBCC36DB-84F8-4D64-82A9-A0530197FBB3}" xr6:coauthVersionLast="47" xr6:coauthVersionMax="47" xr10:uidLastSave="{927F4C4B-29BD-4F4F-AFCB-B7FA11D6A233}"/>
  <bookViews>
    <workbookView xWindow="-120" yWindow="-120" windowWidth="29040" windowHeight="15840" xr2:uid="{AE9D7FCB-A324-4875-8723-FC2B53152513}"/>
  </bookViews>
  <sheets>
    <sheet name="SX5E" sheetId="1" r:id="rId1"/>
    <sheet name="BEST" sheetId="5" r:id="rId2"/>
    <sheet name="CLIENTS" sheetId="4" r:id="rId3"/>
    <sheet name="BEST_HISTORY" sheetId="6" r:id="rId4"/>
  </sheets>
  <functionGroups builtInGroupCount="19"/>
  <definedNames>
    <definedName name="_xlnm._FilterDatabase" localSheetId="1" hidden="1">BEST!$A$1:$H$43</definedName>
    <definedName name="BEST_TAB">BEST!$A:$H</definedName>
    <definedName name="CLIENTS_DATA_BANK">CLIENTS!$B:$B</definedName>
    <definedName name="CLIENTS_DATA_FIRST_NAME">CLIENTS!$C:$C</definedName>
    <definedName name="CLIENTS_DATA_NAME">CLIENTS!$A:$A</definedName>
    <definedName name="CLIENTS_DATA_TYPE_FB">CLIENTS!$D:$D</definedName>
    <definedName name="CLIENTS_DATANAME">CLIENTS!$A:$A</definedName>
    <definedName name="prem_cell">SX5E!$P$27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7" i="1" l="1"/>
  <c r="N39" i="1"/>
  <c r="O39" i="1"/>
  <c r="N38" i="1"/>
  <c r="O38" i="1"/>
  <c r="N37" i="1"/>
  <c r="O37" i="1"/>
  <c r="N36" i="1"/>
  <c r="O36" i="1"/>
  <c r="N35" i="1"/>
  <c r="O35" i="1"/>
  <c r="N34" i="1"/>
  <c r="O34" i="1"/>
  <c r="N33" i="1"/>
  <c r="O33" i="1"/>
  <c r="N32" i="1"/>
  <c r="O32" i="1"/>
  <c r="N31" i="1"/>
  <c r="O31" i="1"/>
  <c r="N30" i="1"/>
  <c r="O30" i="1"/>
  <c r="N29" i="1"/>
  <c r="O29" i="1"/>
  <c r="N28" i="1"/>
  <c r="O28" i="1"/>
</calcChain>
</file>

<file path=xl/sharedStrings.xml><?xml version="1.0" encoding="utf-8"?>
<sst xmlns="http://schemas.openxmlformats.org/spreadsheetml/2006/main" count="285" uniqueCount="151">
  <si>
    <t>HUGO HILLON</t>
  </si>
  <si>
    <t>Name</t>
  </si>
  <si>
    <t>BNP</t>
  </si>
  <si>
    <t>Bank</t>
  </si>
  <si>
    <t>GABRIEL MESSIKA</t>
  </si>
  <si>
    <t>JP</t>
  </si>
  <si>
    <t>Barc</t>
  </si>
  <si>
    <t>Opt</t>
  </si>
  <si>
    <t>Trader/Bank</t>
  </si>
  <si>
    <t>Run</t>
  </si>
  <si>
    <t>NATHANIEL COLEMAN</t>
  </si>
  <si>
    <t>TOMASZ BIGO</t>
  </si>
  <si>
    <t>Dec23 16.5/18.5</t>
  </si>
  <si>
    <t>Dec24 21.5/23.5</t>
  </si>
  <si>
    <t>Dec31 70/76</t>
  </si>
  <si>
    <t>Bid</t>
  </si>
  <si>
    <t>Offer</t>
  </si>
  <si>
    <t>SX5E</t>
  </si>
  <si>
    <t>BRENDAN FOX</t>
  </si>
  <si>
    <t>ERWIN GEENEN</t>
  </si>
  <si>
    <t>Type FB</t>
  </si>
  <si>
    <t>Bid Cpty</t>
  </si>
  <si>
    <t>Offer Cpty</t>
  </si>
  <si>
    <t>Dec25 27.5/29.5</t>
  </si>
  <si>
    <t>Dec26 34/36</t>
  </si>
  <si>
    <t>Time</t>
  </si>
  <si>
    <t>Bnk</t>
  </si>
  <si>
    <t>Index</t>
  </si>
  <si>
    <t>Basis</t>
  </si>
  <si>
    <t>Maturity</t>
  </si>
  <si>
    <t>Comment</t>
  </si>
  <si>
    <t>09:52:03 SX5E TRF run vs +6 Mar23</t>
  </si>
  <si>
    <t>Dec27 40.5/43.5</t>
  </si>
  <si>
    <t>Dec28 48.5/51.5</t>
  </si>
  <si>
    <t>Dec29 55.5/59.5</t>
  </si>
  <si>
    <t>Dec30 63.5/67.5</t>
  </si>
  <si>
    <t>One line</t>
  </si>
  <si>
    <t>Date</t>
  </si>
  <si>
    <t>A</t>
  </si>
  <si>
    <t>Your feedback Nathaniel</t>
  </si>
  <si>
    <t>First Name</t>
  </si>
  <si>
    <t>Hugo</t>
  </si>
  <si>
    <t>Tomasz</t>
  </si>
  <si>
    <t>Nathaniel</t>
  </si>
  <si>
    <t>Erwin</t>
  </si>
  <si>
    <t>Brendan</t>
  </si>
  <si>
    <t>Gab</t>
  </si>
  <si>
    <t>Your feedback Gab</t>
  </si>
  <si>
    <t>Your feedback Hugo</t>
  </si>
  <si>
    <t>48.5 bid</t>
  </si>
  <si>
    <t>55.5 bid</t>
  </si>
  <si>
    <t>63.5 bid</t>
  </si>
  <si>
    <t>70 bid</t>
  </si>
  <si>
    <t>B</t>
  </si>
  <si>
    <t>SX5E TRF vs 6</t>
  </si>
  <si>
    <t>SX5E TRF run vs +6 Mar23</t>
  </si>
  <si>
    <t>16:03:10 SX5E TRF vs 6</t>
  </si>
  <si>
    <t>Mar23 -10/-5</t>
  </si>
  <si>
    <t>Jun23  40/45</t>
  </si>
  <si>
    <t>Dec23 16.5/18</t>
  </si>
  <si>
    <t>Dec24 21.5/22.5</t>
  </si>
  <si>
    <t>Dec25 27.5/28.5</t>
  </si>
  <si>
    <t>Dec26 33.5/35</t>
  </si>
  <si>
    <t>Dec27 40.5/42</t>
  </si>
  <si>
    <t>Dec28 47.5/49</t>
  </si>
  <si>
    <t>Dec29 54.5/56.5</t>
  </si>
  <si>
    <t>Dec30 61/65</t>
  </si>
  <si>
    <t>Dec31 69/75</t>
  </si>
  <si>
    <t>Dec32 74/81</t>
  </si>
  <si>
    <t>Dec-23: 16 / 18</t>
  </si>
  <si>
    <t>Dec-24: 21 / 23</t>
  </si>
  <si>
    <t>Dec-25: 26.5 / 28.5</t>
  </si>
  <si>
    <t>Dec-26: 33 / 35</t>
  </si>
  <si>
    <t>Dec-27: 39.5 / 41.5</t>
  </si>
  <si>
    <t>Dec-28: 46.5 / 48.5</t>
  </si>
  <si>
    <t>Dec-29: 53.5 / 56.5</t>
  </si>
  <si>
    <t>Dec-30: 60 / 64</t>
  </si>
  <si>
    <t>Dec-31: 66.5 / 72.5</t>
  </si>
  <si>
    <t>BNP/JP</t>
  </si>
  <si>
    <t>16.5 / 18*</t>
  </si>
  <si>
    <t>18 offer</t>
  </si>
  <si>
    <t>21.5 / 22.5*</t>
  </si>
  <si>
    <t>22.5 offer</t>
  </si>
  <si>
    <t>27.5 / 28.5*</t>
  </si>
  <si>
    <t>28.5 offer</t>
  </si>
  <si>
    <t>34 / 35*</t>
  </si>
  <si>
    <t>35 offer</t>
  </si>
  <si>
    <t>55.5 / 56.5*</t>
  </si>
  <si>
    <t>56.5 offer</t>
  </si>
  <si>
    <t>-10 / -5</t>
  </si>
  <si>
    <t>40 / 45</t>
  </si>
  <si>
    <t>16.5 / 18</t>
  </si>
  <si>
    <t>21.5 / 22.5</t>
  </si>
  <si>
    <t>27.5 / 28.5</t>
  </si>
  <si>
    <t>34 bid</t>
  </si>
  <si>
    <t>34* / 35</t>
  </si>
  <si>
    <t>55.5* / 56.5</t>
  </si>
  <si>
    <t>74 / 81</t>
  </si>
  <si>
    <t>Dec23 16.5/18.5 -&gt; 18 offer</t>
  </si>
  <si>
    <t>Dec24 21.5/23.5 -&gt; 22.5 offer</t>
  </si>
  <si>
    <t>Dec25 27.5/29.5 -&gt; 28.5 offer</t>
  </si>
  <si>
    <t>Dec26 34/36 -&gt; 35 offer</t>
  </si>
  <si>
    <t>Dec29 55.5/59.5 -&gt; 56.5 offer</t>
  </si>
  <si>
    <t>Dec26 33.5/35 -&gt; 34 bid</t>
  </si>
  <si>
    <t>Dec29 54.5/56.5 -&gt; 55.5 bid</t>
  </si>
  <si>
    <t>16:51:01 SX5E TRF vs. 6</t>
  </si>
  <si>
    <t>Barc/JP</t>
  </si>
  <si>
    <t>40.5 / 41.5*</t>
  </si>
  <si>
    <t>41.5 offer</t>
  </si>
  <si>
    <t>48.5 / 48.5*</t>
  </si>
  <si>
    <t>48.5 offer</t>
  </si>
  <si>
    <t>63.5 / 64*</t>
  </si>
  <si>
    <t>64 offer</t>
  </si>
  <si>
    <t>70 / 72.5*</t>
  </si>
  <si>
    <t>72.5 offer</t>
  </si>
  <si>
    <t>16.5 bid</t>
  </si>
  <si>
    <t>16.5* / 18</t>
  </si>
  <si>
    <t>21.5* / 22.5*</t>
  </si>
  <si>
    <t>21.5 bid / 22.5 offer</t>
  </si>
  <si>
    <t>27.5 bid</t>
  </si>
  <si>
    <t>27.5* / 28.5</t>
  </si>
  <si>
    <t>40.5 bid</t>
  </si>
  <si>
    <t>40.5* / 41.5</t>
  </si>
  <si>
    <t>48.5* / 48.5</t>
  </si>
  <si>
    <t>63.5* / 64</t>
  </si>
  <si>
    <t>70* / 72.5</t>
  </si>
  <si>
    <t>48.5* / 48.5*</t>
  </si>
  <si>
    <t>48.5 bid / 48.5 offer</t>
  </si>
  <si>
    <t>63.5* / 64*</t>
  </si>
  <si>
    <t>63.5 bid / 64 offer</t>
  </si>
  <si>
    <t>70* / 72.5*</t>
  </si>
  <si>
    <t>70 bid / 72.5 offer</t>
  </si>
  <si>
    <t>Dec27 40.5/43.5 -&gt; 41.5 offer</t>
  </si>
  <si>
    <t>Dec28 48.5/51.5 -&gt; 48.5 offer</t>
  </si>
  <si>
    <t>Dec30 63.5/67.5 -&gt; 64 offer</t>
  </si>
  <si>
    <t>Dec31 70/76 -&gt; 72.5 offer</t>
  </si>
  <si>
    <t>SX5E TRF vs. 6</t>
  </si>
  <si>
    <t>Dec-23: 16 / 18 -&gt; 16.5 bid</t>
  </si>
  <si>
    <t>Dec-24: 21 / 23 -&gt; 21.5 bid / 22.5 offer</t>
  </si>
  <si>
    <t>Dec-25: 26.5 / 28.5 -&gt; 27.5 bid</t>
  </si>
  <si>
    <t>Dec-26: 33 / 35 -&gt; 34 bid</t>
  </si>
  <si>
    <t>Dec-27: 39.5 / 41.5 -&gt; 40.5 bid</t>
  </si>
  <si>
    <t>Dec-28: 46.5 / 48.5 -&gt; 48.5 bid</t>
  </si>
  <si>
    <t>Dec-29: 53.5 / 56.5 -&gt; 55.5 bid</t>
  </si>
  <si>
    <t>Dec-30: 60 / 64 -&gt; 63.5 bid</t>
  </si>
  <si>
    <t>Dec-31: 66.5 / 72.5 -&gt; 70 bid</t>
  </si>
  <si>
    <t>Dec27 40.5/42 -&gt; 41.5 offer</t>
  </si>
  <si>
    <t>Dec28 47.5/49 -&gt; 48.5 bid / 48.5 offer</t>
  </si>
  <si>
    <t>Dec30 61/65 -&gt; 63.5 bid / 64 offer</t>
  </si>
  <si>
    <t>Dec31 69/75 -&gt; 70 bid / 72.5 offer</t>
  </si>
  <si>
    <t>Last updated: 17:56:04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</si>
</sst>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21" fontId="2" fillId="0" borderId="0" xfId="0" applyNumberFormat="1" applyFont="1"/>
    <xf numFmtId="21" fontId="0" fillId="0" borderId="0" xfId="0" applyNumberFormat="1"/>
    <xf numFmtId="164" fontId="0" fillId="0" borderId="0" xfId="0" quotePrefix="1" applyNumberFormat="1"/>
    <xf numFmtId="164" fontId="0" fillId="0" borderId="0" xfId="0" applyNumberFormat="1"/>
    <xf numFmtId="164" fontId="1" fillId="0" borderId="0" xfId="0" quotePrefix="1" applyNumberFormat="1" applyFont="1"/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22</xdr:row>
          <xdr:rowOff>66675</xdr:rowOff>
        </xdr:from>
        <xdr:to>
          <xdr:col>13</xdr:col>
          <xdr:colOff>1628775</xdr:colOff>
          <xdr:row>23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and 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0D421-88CF-4121-82F6-22C74AFFB987}">
  <sheetPr codeName="TABLES_RUNS"/>
  <dimension ref="A1:W1148"/>
  <sheetViews>
    <sheetView tabSelected="1" workbookViewId="0">
      <selection activeCell="E14" sqref="E14"/>
    </sheetView>
  </sheetViews>
  <sheetFormatPr defaultColWidth="9.140625" defaultRowHeight="15" x14ac:dyDescent="0.25"/>
  <cols>
    <col min="1" max="1" width="10.7109375" customWidth="1"/>
    <col min="2" max="2" width="26.85546875" bestFit="1" customWidth="1"/>
    <col min="3" max="3" width="34.140625" bestFit="1" customWidth="1"/>
    <col min="4" max="4" width="33.42578125" bestFit="1" customWidth="1"/>
    <col min="5" max="12" width="8.7109375" customWidth="1"/>
    <col min="13" max="13" width="0.42578125" customWidth="1"/>
    <col min="14" max="14" width="28.7109375" customWidth="1"/>
    <col min="15" max="15" width="34.28515625" customWidth="1"/>
    <col min="22" max="22" width="12" bestFit="1" customWidth="1"/>
  </cols>
  <sheetData>
    <row r="1" spans="1:11" x14ac:dyDescent="0.25">
      <c r="A1" s="3" t="s">
        <v>8</v>
      </c>
      <c r="B1" s="3" t="s">
        <v>0</v>
      </c>
      <c r="C1" s="3" t="s">
        <v>10</v>
      </c>
      <c r="D1" s="3" t="s">
        <v>4</v>
      </c>
      <c r="E1" s="3"/>
      <c r="F1" s="3"/>
      <c r="G1" s="3"/>
      <c r="H1" s="3"/>
      <c r="I1" s="3"/>
      <c r="J1" s="3"/>
      <c r="K1" s="3"/>
    </row>
    <row r="2" spans="1:11" x14ac:dyDescent="0.25">
      <c r="A2" s="3" t="s">
        <v>9</v>
      </c>
      <c r="B2" s="3" t="s">
        <v>31</v>
      </c>
      <c r="C2" s="3" t="s">
        <v>105</v>
      </c>
      <c r="D2" s="4" t="s">
        <v>56</v>
      </c>
      <c r="E2" s="4"/>
      <c r="F2" s="3"/>
      <c r="G2" s="3"/>
      <c r="H2" s="3"/>
      <c r="I2" s="3"/>
      <c r="J2" s="3"/>
      <c r="K2" s="3"/>
    </row>
    <row r="3" spans="1:11" x14ac:dyDescent="0.25">
      <c r="A3" s="3" t="s">
        <v>17</v>
      </c>
      <c r="B3" s="3"/>
      <c r="C3" s="3" t="s">
        <v>69</v>
      </c>
      <c r="D3" s="3"/>
      <c r="E3" s="3"/>
      <c r="F3" s="3"/>
      <c r="G3" s="3"/>
      <c r="H3" s="3"/>
      <c r="I3" s="3"/>
      <c r="J3" s="3"/>
      <c r="K3" s="3"/>
    </row>
    <row r="4" spans="1:11" x14ac:dyDescent="0.25">
      <c r="A4" s="3"/>
      <c r="B4" s="3" t="s">
        <v>12</v>
      </c>
      <c r="C4" s="3" t="s">
        <v>70</v>
      </c>
      <c r="D4" s="3" t="s">
        <v>57</v>
      </c>
      <c r="E4" s="3"/>
      <c r="F4" s="3"/>
      <c r="G4" s="3"/>
      <c r="H4" s="3"/>
      <c r="I4" s="3"/>
      <c r="J4" s="3"/>
      <c r="K4" s="3"/>
    </row>
    <row r="5" spans="1:11" x14ac:dyDescent="0.25">
      <c r="A5" s="3"/>
      <c r="B5" s="3" t="s">
        <v>13</v>
      </c>
      <c r="C5" s="3" t="s">
        <v>71</v>
      </c>
      <c r="D5" s="3" t="s">
        <v>58</v>
      </c>
      <c r="E5" s="3"/>
      <c r="F5" s="3"/>
      <c r="G5" s="3"/>
      <c r="H5" s="3"/>
      <c r="I5" s="3"/>
      <c r="J5" s="3"/>
      <c r="K5" s="3"/>
    </row>
    <row r="6" spans="1:11" x14ac:dyDescent="0.25">
      <c r="A6" s="3"/>
      <c r="B6" s="3" t="s">
        <v>23</v>
      </c>
      <c r="C6" s="3" t="s">
        <v>72</v>
      </c>
      <c r="D6" s="3" t="s">
        <v>59</v>
      </c>
      <c r="E6" s="3"/>
      <c r="F6" s="3"/>
      <c r="G6" s="3"/>
      <c r="H6" s="3"/>
      <c r="I6" s="3"/>
      <c r="J6" s="3"/>
      <c r="K6" s="3"/>
    </row>
    <row r="7" spans="1:11" x14ac:dyDescent="0.25">
      <c r="A7" s="3"/>
      <c r="B7" s="3" t="s">
        <v>24</v>
      </c>
      <c r="C7" s="3" t="s">
        <v>73</v>
      </c>
      <c r="D7" s="3" t="s">
        <v>60</v>
      </c>
      <c r="E7" s="3"/>
      <c r="F7" s="3"/>
      <c r="G7" s="3"/>
      <c r="H7" s="3"/>
      <c r="I7" s="3"/>
      <c r="J7" s="3"/>
      <c r="K7" s="3"/>
    </row>
    <row r="8" spans="1:11" x14ac:dyDescent="0.25">
      <c r="A8" s="3"/>
      <c r="B8" s="3" t="s">
        <v>32</v>
      </c>
      <c r="C8" s="3" t="s">
        <v>74</v>
      </c>
      <c r="D8" s="3" t="s">
        <v>61</v>
      </c>
      <c r="E8" s="3"/>
      <c r="F8" s="3"/>
      <c r="G8" s="3"/>
      <c r="H8" s="3"/>
      <c r="I8" s="3"/>
      <c r="J8" s="3"/>
      <c r="K8" s="3"/>
    </row>
    <row r="9" spans="1:11" x14ac:dyDescent="0.25">
      <c r="A9" s="3"/>
      <c r="B9" s="3" t="s">
        <v>33</v>
      </c>
      <c r="C9" s="3" t="s">
        <v>75</v>
      </c>
      <c r="D9" s="3" t="s">
        <v>62</v>
      </c>
      <c r="E9" s="3"/>
      <c r="F9" s="3"/>
      <c r="G9" s="3"/>
      <c r="H9" s="3"/>
      <c r="I9" s="3"/>
      <c r="J9" s="3"/>
      <c r="K9" s="3"/>
    </row>
    <row r="10" spans="1:11" x14ac:dyDescent="0.25">
      <c r="A10" s="3"/>
      <c r="B10" s="3" t="s">
        <v>34</v>
      </c>
      <c r="C10" s="3" t="s">
        <v>76</v>
      </c>
      <c r="D10" s="3" t="s">
        <v>63</v>
      </c>
      <c r="E10" s="3"/>
      <c r="F10" s="3"/>
      <c r="G10" s="3"/>
      <c r="H10" s="3"/>
      <c r="I10" s="3"/>
      <c r="J10" s="3"/>
      <c r="K10" s="3"/>
    </row>
    <row r="11" spans="1:11" x14ac:dyDescent="0.25">
      <c r="A11" s="3"/>
      <c r="B11" s="3" t="s">
        <v>35</v>
      </c>
      <c r="C11" s="3" t="s">
        <v>77</v>
      </c>
      <c r="D11" s="3" t="s">
        <v>64</v>
      </c>
      <c r="E11" s="3"/>
      <c r="F11" s="3"/>
      <c r="G11" s="3"/>
      <c r="H11" s="3"/>
      <c r="I11" s="3"/>
      <c r="J11" s="3"/>
      <c r="K11" s="3"/>
    </row>
    <row r="12" spans="1:11" x14ac:dyDescent="0.25">
      <c r="A12" s="3"/>
      <c r="B12" s="3" t="s">
        <v>14</v>
      </c>
      <c r="C12" s="3"/>
      <c r="D12" s="3" t="s">
        <v>65</v>
      </c>
      <c r="E12" s="3"/>
      <c r="F12" s="3"/>
      <c r="G12" s="3"/>
      <c r="H12" s="3"/>
      <c r="I12" s="3"/>
      <c r="J12" s="3"/>
      <c r="K12" s="3"/>
    </row>
    <row r="13" spans="1:11" x14ac:dyDescent="0.25">
      <c r="A13" s="3"/>
      <c r="B13" s="3"/>
      <c r="C13" s="3"/>
      <c r="D13" s="3" t="s">
        <v>66</v>
      </c>
      <c r="E13" s="3"/>
      <c r="F13" s="3"/>
      <c r="G13" s="3"/>
      <c r="H13" s="3"/>
      <c r="I13" s="3"/>
      <c r="J13" s="3"/>
      <c r="K13" s="3"/>
    </row>
    <row r="14" spans="1:11" x14ac:dyDescent="0.25">
      <c r="A14" s="3"/>
      <c r="B14" s="3"/>
      <c r="C14" s="3"/>
      <c r="D14" s="3" t="s">
        <v>67</v>
      </c>
      <c r="E14" s="3"/>
      <c r="F14" s="3"/>
      <c r="G14" s="3"/>
      <c r="H14" s="3"/>
      <c r="I14" s="3"/>
      <c r="J14" s="3"/>
      <c r="K14" s="3"/>
    </row>
    <row r="15" spans="1:11" x14ac:dyDescent="0.25">
      <c r="A15" s="3"/>
      <c r="B15" s="3"/>
      <c r="C15" s="3"/>
      <c r="D15" s="3" t="s">
        <v>68</v>
      </c>
      <c r="E15" s="3"/>
      <c r="F15" s="3"/>
      <c r="G15" s="3"/>
      <c r="H15" s="3"/>
      <c r="I15" s="3"/>
      <c r="J15" s="3"/>
      <c r="K15" s="3"/>
    </row>
    <row r="16" spans="1:1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23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23" x14ac:dyDescent="0.25">
      <c r="C18" s="3"/>
    </row>
    <row r="19" spans="1:23" x14ac:dyDescent="0.25">
      <c r="C19" s="3"/>
    </row>
    <row r="20" spans="1:23" x14ac:dyDescent="0.25">
      <c r="C20" s="3"/>
    </row>
    <row r="22" spans="1:23" s="2" customFormat="1" ht="5.25" customHeight="1" x14ac:dyDescent="0.25"/>
    <row r="23" spans="1:23" x14ac:dyDescent="0.25">
      <c r="O23" t="s">
        <v>150</v>
      </c>
    </row>
    <row r="24" spans="1:23" x14ac:dyDescent="0.25">
      <c r="A24" t="s">
        <v>20</v>
      </c>
      <c r="B24" t="s">
        <v>38</v>
      </c>
      <c r="C24" t="s">
        <v>38</v>
      </c>
      <c r="D24" t="s">
        <v>38</v>
      </c>
    </row>
    <row r="26" spans="1:23" x14ac:dyDescent="0.25">
      <c r="B26" t="s">
        <v>48</v>
      </c>
      <c r="C26" t="s">
        <v>39</v>
      </c>
      <c r="D26" t="s">
        <v>47</v>
      </c>
    </row>
    <row r="27" spans="1:23" x14ac:dyDescent="0.25">
      <c r="B27" t="s">
        <v>55</v>
      </c>
      <c r="C27" t="s">
        <v>136</v>
      </c>
      <c r="D27" t="s">
        <v>54</v>
      </c>
      <c r="N27" s="1" t="str">
        <f>"Tightest " &amp;P28&amp;" TRF run vs "&amp;Q28</f>
        <v>Tightest SX5E TRF run vs 6</v>
      </c>
      <c r="O27" s="1" t="s">
        <v>36</v>
      </c>
      <c r="P27" s="1" t="s">
        <v>27</v>
      </c>
      <c r="Q27" s="1" t="s">
        <v>28</v>
      </c>
      <c r="R27" s="8" t="s">
        <v>29</v>
      </c>
      <c r="S27" s="1" t="s">
        <v>15</v>
      </c>
      <c r="T27" s="1" t="s">
        <v>16</v>
      </c>
      <c r="U27" s="1" t="s">
        <v>21</v>
      </c>
      <c r="V27" s="1" t="s">
        <v>22</v>
      </c>
      <c r="W27" s="1"/>
    </row>
    <row r="28" spans="1:23" x14ac:dyDescent="0.25">
      <c r="B28" t="s">
        <v>98</v>
      </c>
      <c r="C28" t="s">
        <v>137</v>
      </c>
      <c r="D28" t="s">
        <v>57</v>
      </c>
      <c r="N28" t="str">
        <f>IF(P28="","",TEXT(R28,"MMMYY")&amp;" "&amp;S28&amp;" / "&amp;T28)</f>
        <v>Mar23 -10 / -5</v>
      </c>
      <c r="O28" t="str">
        <f>P28&amp;" TRF vs "&amp;Q28&amp;"  "&amp;TEXT(R28,"MMMYY")&amp;" "&amp;S28&amp;" / "&amp;T28</f>
        <v>SX5E TRF vs 6  Mar23 -10 / -5</v>
      </c>
      <c r="P28" t="s">
        <v>17</v>
      </c>
      <c r="Q28">
        <v>6</v>
      </c>
      <c r="R28" s="7">
        <v>44986</v>
      </c>
      <c r="S28">
        <v>-10</v>
      </c>
      <c r="T28">
        <v>-5</v>
      </c>
      <c r="U28" t="s">
        <v>5</v>
      </c>
      <c r="V28" t="s">
        <v>5</v>
      </c>
    </row>
    <row r="29" spans="1:23" x14ac:dyDescent="0.25">
      <c r="B29" t="s">
        <v>99</v>
      </c>
      <c r="C29" t="s">
        <v>138</v>
      </c>
      <c r="D29" t="s">
        <v>58</v>
      </c>
      <c r="N29" t="str">
        <f>IF(P29="","",TEXT(R29,"MMMYY")&amp;" "&amp;S29&amp;" / "&amp;T29)</f>
        <v>Jun23 40 / 45</v>
      </c>
      <c r="O29" t="str">
        <f>P29&amp;" TRF vs "&amp;Q29&amp;"  "&amp;TEXT(R29,"MMMYY")&amp;" "&amp;S29&amp;" / "&amp;T29</f>
        <v>SX5E TRF vs 6  Jun23 40 / 45</v>
      </c>
      <c r="P29" t="s">
        <v>17</v>
      </c>
      <c r="Q29">
        <v>6</v>
      </c>
      <c r="R29" s="7">
        <v>45078</v>
      </c>
      <c r="S29">
        <v>40</v>
      </c>
      <c r="T29">
        <v>45</v>
      </c>
      <c r="U29" t="s">
        <v>5</v>
      </c>
      <c r="V29" t="s">
        <v>5</v>
      </c>
    </row>
    <row r="30" spans="1:23" x14ac:dyDescent="0.25">
      <c r="B30" t="s">
        <v>100</v>
      </c>
      <c r="C30" t="s">
        <v>139</v>
      </c>
      <c r="D30" t="s">
        <v>59</v>
      </c>
      <c r="N30" t="str">
        <f>IF(P30="","",TEXT(R30,"MMMYY")&amp;" "&amp;S30&amp;" / "&amp;T30)</f>
        <v>Dec23 16.5 / 18</v>
      </c>
      <c r="O30" t="str">
        <f>P30&amp;" TRF vs "&amp;Q30&amp;"  "&amp;TEXT(R30,"MMMYY")&amp;" "&amp;S30&amp;" / "&amp;T30</f>
        <v>SX5E TRF vs 6  Dec23 16.5 / 18</v>
      </c>
      <c r="P30" t="s">
        <v>17</v>
      </c>
      <c r="Q30">
        <v>6</v>
      </c>
      <c r="R30" s="6">
        <v>45261</v>
      </c>
      <c r="S30">
        <v>16.5</v>
      </c>
      <c r="T30">
        <v>18</v>
      </c>
      <c r="U30" t="s">
        <v>78</v>
      </c>
      <c r="V30" t="s">
        <v>106</v>
      </c>
    </row>
    <row r="31" spans="1:23" x14ac:dyDescent="0.25">
      <c r="B31" t="s">
        <v>101</v>
      </c>
      <c r="C31" t="s">
        <v>140</v>
      </c>
      <c r="D31" t="s">
        <v>60</v>
      </c>
      <c r="N31" t="str">
        <f>IF(P31="","",TEXT(R31,"MMMYY")&amp;" "&amp;S31&amp;" / "&amp;T31)</f>
        <v>Dec24 21.5 / 22.5</v>
      </c>
      <c r="O31" t="str">
        <f>P31&amp;" TRF vs "&amp;Q31&amp;"  "&amp;TEXT(R31,"MMMYY")&amp;" "&amp;S31&amp;" / "&amp;T31</f>
        <v>SX5E TRF vs 6  Dec24 21.5 / 22.5</v>
      </c>
      <c r="P31" t="s">
        <v>17</v>
      </c>
      <c r="Q31">
        <v>6</v>
      </c>
      <c r="R31" s="6">
        <v>45627</v>
      </c>
      <c r="S31">
        <v>21.5</v>
      </c>
      <c r="T31">
        <v>22.5</v>
      </c>
      <c r="U31" t="s">
        <v>78</v>
      </c>
      <c r="V31" t="s">
        <v>5</v>
      </c>
    </row>
    <row r="32" spans="1:23" x14ac:dyDescent="0.25">
      <c r="B32" t="s">
        <v>132</v>
      </c>
      <c r="C32" t="s">
        <v>141</v>
      </c>
      <c r="D32" t="s">
        <v>61</v>
      </c>
      <c r="N32" t="str">
        <f>IF(P32="","",TEXT(R32,"MMMYY")&amp;" "&amp;S32&amp;" / "&amp;T32)</f>
        <v>Dec25 27.5 / 28.5</v>
      </c>
      <c r="O32" t="str">
        <f>P32&amp;" TRF vs "&amp;Q32&amp;"  "&amp;TEXT(R32,"MMMYY")&amp;" "&amp;S32&amp;" / "&amp;T32</f>
        <v>SX5E TRF vs 6  Dec25 27.5 / 28.5</v>
      </c>
      <c r="P32" t="s">
        <v>17</v>
      </c>
      <c r="Q32">
        <v>6</v>
      </c>
      <c r="R32" s="6">
        <v>45992</v>
      </c>
      <c r="S32">
        <v>27.5</v>
      </c>
      <c r="T32">
        <v>28.5</v>
      </c>
      <c r="U32" t="s">
        <v>78</v>
      </c>
      <c r="V32" t="s">
        <v>106</v>
      </c>
    </row>
    <row r="33" spans="2:22" x14ac:dyDescent="0.25">
      <c r="B33" t="s">
        <v>133</v>
      </c>
      <c r="C33" t="s">
        <v>142</v>
      </c>
      <c r="D33" t="s">
        <v>103</v>
      </c>
      <c r="N33" t="str">
        <f>IF(P33="","",TEXT(R33,"MMMYY")&amp;" "&amp;S33&amp;" / "&amp;T33)</f>
        <v>Dec26 34 / 35</v>
      </c>
      <c r="O33" t="str">
        <f>P33&amp;" TRF vs "&amp;Q33&amp;"  "&amp;TEXT(R33,"MMMYY")&amp;" "&amp;S33&amp;" / "&amp;T33</f>
        <v>SX5E TRF vs 6  Dec26 34 / 35</v>
      </c>
      <c r="P33" t="s">
        <v>17</v>
      </c>
      <c r="Q33">
        <v>6</v>
      </c>
      <c r="R33" s="6">
        <v>46357</v>
      </c>
      <c r="S33">
        <v>34</v>
      </c>
      <c r="T33">
        <v>35</v>
      </c>
      <c r="U33" t="s">
        <v>2</v>
      </c>
      <c r="V33" t="s">
        <v>106</v>
      </c>
    </row>
    <row r="34" spans="2:22" x14ac:dyDescent="0.25">
      <c r="B34" t="s">
        <v>102</v>
      </c>
      <c r="C34" t="s">
        <v>143</v>
      </c>
      <c r="D34" t="s">
        <v>146</v>
      </c>
      <c r="N34" t="str">
        <f>IF(P34="","",TEXT(R34,"MMMYY")&amp;" "&amp;S34&amp;" / "&amp;T34)</f>
        <v>Dec27 40.5 / 41.5</v>
      </c>
      <c r="O34" t="str">
        <f>P34&amp;" TRF vs "&amp;Q34&amp;"  "&amp;TEXT(R34,"MMMYY")&amp;" "&amp;S34&amp;" / "&amp;T34</f>
        <v>SX5E TRF vs 6  Dec27 40.5 / 41.5</v>
      </c>
      <c r="P34" t="s">
        <v>17</v>
      </c>
      <c r="Q34">
        <v>6</v>
      </c>
      <c r="R34" s="6">
        <v>46722</v>
      </c>
      <c r="S34">
        <v>40.5</v>
      </c>
      <c r="T34">
        <v>41.5</v>
      </c>
      <c r="U34" t="s">
        <v>78</v>
      </c>
      <c r="V34" t="s">
        <v>6</v>
      </c>
    </row>
    <row r="35" spans="2:22" x14ac:dyDescent="0.25">
      <c r="B35" t="s">
        <v>134</v>
      </c>
      <c r="C35" t="s">
        <v>144</v>
      </c>
      <c r="D35" t="s">
        <v>147</v>
      </c>
      <c r="N35" t="str">
        <f>IF(P35="","",TEXT(R35,"MMMYY")&amp;" "&amp;S35&amp;" / "&amp;T35)</f>
        <v>Dec28 48.5 / 48.5</v>
      </c>
      <c r="O35" t="str">
        <f>P35&amp;" TRF vs "&amp;Q35&amp;"  "&amp;TEXT(R35,"MMMYY")&amp;" "&amp;S35&amp;" / "&amp;T35</f>
        <v>SX5E TRF vs 6  Dec28 48.5 / 48.5</v>
      </c>
      <c r="P35" t="s">
        <v>17</v>
      </c>
      <c r="Q35">
        <v>6</v>
      </c>
      <c r="R35" s="6">
        <v>47088</v>
      </c>
      <c r="S35">
        <v>48.5</v>
      </c>
      <c r="T35">
        <v>48.5</v>
      </c>
      <c r="U35" t="s">
        <v>2</v>
      </c>
      <c r="V35" t="s">
        <v>6</v>
      </c>
    </row>
    <row r="36" spans="2:22" x14ac:dyDescent="0.25">
      <c r="B36" t="s">
        <v>135</v>
      </c>
      <c r="C36" t="s">
        <v>145</v>
      </c>
      <c r="D36" t="s">
        <v>104</v>
      </c>
      <c r="N36" t="str">
        <f>IF(P36="","",TEXT(R36,"MMMYY")&amp;" "&amp;S36&amp;" / "&amp;T36)</f>
        <v>Dec29 55.5 / 56.5</v>
      </c>
      <c r="O36" t="str">
        <f>P36&amp;" TRF vs "&amp;Q36&amp;"  "&amp;TEXT(R36,"MMMYY")&amp;" "&amp;S36&amp;" / "&amp;T36</f>
        <v>SX5E TRF vs 6  Dec29 55.5 / 56.5</v>
      </c>
      <c r="P36" t="s">
        <v>17</v>
      </c>
      <c r="Q36">
        <v>6</v>
      </c>
      <c r="R36" s="6">
        <v>47453</v>
      </c>
      <c r="S36">
        <v>55.5</v>
      </c>
      <c r="T36">
        <v>56.5</v>
      </c>
      <c r="U36" t="s">
        <v>2</v>
      </c>
      <c r="V36" t="s">
        <v>106</v>
      </c>
    </row>
    <row r="37" spans="2:22" x14ac:dyDescent="0.25">
      <c r="D37" t="s">
        <v>148</v>
      </c>
      <c r="N37" t="str">
        <f>IF(P37="","",TEXT(R37,"MMMYY")&amp;" "&amp;S37&amp;" / "&amp;T37)</f>
        <v>Dec30 63.5 / 64</v>
      </c>
      <c r="O37" t="str">
        <f>P37&amp;" TRF vs "&amp;Q37&amp;"  "&amp;TEXT(R37,"MMMYY")&amp;" "&amp;S37&amp;" / "&amp;T37</f>
        <v>SX5E TRF vs 6  Dec30 63.5 / 64</v>
      </c>
      <c r="P37" t="s">
        <v>17</v>
      </c>
      <c r="Q37">
        <v>6</v>
      </c>
      <c r="R37" s="6">
        <v>47818</v>
      </c>
      <c r="S37">
        <v>63.5</v>
      </c>
      <c r="T37">
        <v>64</v>
      </c>
      <c r="U37" t="s">
        <v>2</v>
      </c>
      <c r="V37" t="s">
        <v>6</v>
      </c>
    </row>
    <row r="38" spans="2:22" x14ac:dyDescent="0.25">
      <c r="D38" t="s">
        <v>149</v>
      </c>
      <c r="N38" t="str">
        <f>IF(P38="","",TEXT(R38,"MMMYY")&amp;" "&amp;S38&amp;" / "&amp;T38)</f>
        <v>Dec31 70 / 72.5</v>
      </c>
      <c r="O38" t="str">
        <f>P38&amp;" TRF vs "&amp;Q38&amp;"  "&amp;TEXT(R38,"MMMYY")&amp;" "&amp;S38&amp;" / "&amp;T38</f>
        <v>SX5E TRF vs 6  Dec31 70 / 72.5</v>
      </c>
      <c r="P38" t="s">
        <v>17</v>
      </c>
      <c r="Q38">
        <v>6</v>
      </c>
      <c r="R38" s="6">
        <v>48183</v>
      </c>
      <c r="S38">
        <v>70</v>
      </c>
      <c r="T38">
        <v>72.5</v>
      </c>
      <c r="U38" t="s">
        <v>2</v>
      </c>
      <c r="V38" t="s">
        <v>6</v>
      </c>
    </row>
    <row r="39" spans="2:22" x14ac:dyDescent="0.25">
      <c r="D39" t="s">
        <v>68</v>
      </c>
      <c r="N39" t="str">
        <f>IF(P39="","",TEXT(R39,"MMMYY")&amp;" "&amp;S39&amp;" / "&amp;T39)</f>
        <v>Dec32 74 / 81</v>
      </c>
      <c r="O39" t="str">
        <f>P39&amp;" TRF vs "&amp;Q39&amp;"  "&amp;TEXT(R39,"MMMYY")&amp;" "&amp;S39&amp;" / "&amp;T39</f>
        <v>SX5E TRF vs 6  Dec32 74 / 81</v>
      </c>
      <c r="P39" t="s">
        <v>17</v>
      </c>
      <c r="Q39">
        <v>6</v>
      </c>
      <c r="R39" s="7">
        <v>48549</v>
      </c>
      <c r="S39">
        <v>74</v>
      </c>
      <c r="T39">
        <v>81</v>
      </c>
      <c r="U39" t="s">
        <v>5</v>
      </c>
      <c r="V39" t="s">
        <v>5</v>
      </c>
    </row>
    <row r="164" spans="18:18" x14ac:dyDescent="0.25">
      <c r="R164" s="6"/>
    </row>
    <row r="165" spans="18:18" x14ac:dyDescent="0.25">
      <c r="R165" s="6"/>
    </row>
    <row r="166" spans="18:18" x14ac:dyDescent="0.25">
      <c r="R166" s="6"/>
    </row>
    <row r="167" spans="18:18" x14ac:dyDescent="0.25">
      <c r="R167" s="6"/>
    </row>
    <row r="168" spans="18:18" x14ac:dyDescent="0.25">
      <c r="R168" s="7"/>
    </row>
    <row r="1123" spans="18:18" x14ac:dyDescent="0.25">
      <c r="R1123" s="7"/>
    </row>
    <row r="1124" spans="18:18" x14ac:dyDescent="0.25">
      <c r="R1124" s="7"/>
    </row>
    <row r="1125" spans="18:18" x14ac:dyDescent="0.25">
      <c r="R1125" s="7"/>
    </row>
    <row r="1126" spans="18:18" x14ac:dyDescent="0.25">
      <c r="R1126" s="7"/>
    </row>
    <row r="1127" spans="18:18" x14ac:dyDescent="0.25">
      <c r="R1127" s="7"/>
    </row>
    <row r="1128" spans="18:18" x14ac:dyDescent="0.25">
      <c r="R1128" s="7"/>
    </row>
    <row r="1129" spans="18:18" x14ac:dyDescent="0.25">
      <c r="R1129" s="7"/>
    </row>
    <row r="1130" spans="18:18" x14ac:dyDescent="0.25">
      <c r="R1130" s="7"/>
    </row>
    <row r="1131" spans="18:18" x14ac:dyDescent="0.25">
      <c r="R1131" s="7"/>
    </row>
    <row r="1132" spans="18:18" x14ac:dyDescent="0.25">
      <c r="R1132" s="7"/>
    </row>
    <row r="1133" spans="18:18" x14ac:dyDescent="0.25">
      <c r="R1133" s="7"/>
    </row>
    <row r="1134" spans="18:18" x14ac:dyDescent="0.25">
      <c r="R1134" s="7"/>
    </row>
    <row r="1135" spans="18:18" x14ac:dyDescent="0.25">
      <c r="R1135" s="7"/>
    </row>
    <row r="1136" spans="18:18" x14ac:dyDescent="0.25">
      <c r="R1136" s="7"/>
    </row>
    <row r="1137" spans="18:18" x14ac:dyDescent="0.25">
      <c r="R1137" s="7"/>
    </row>
    <row r="1138" spans="18:18" x14ac:dyDescent="0.25">
      <c r="R1138" s="7"/>
    </row>
    <row r="1139" spans="18:18" x14ac:dyDescent="0.25">
      <c r="R1139" s="7"/>
    </row>
    <row r="1140" spans="18:18" x14ac:dyDescent="0.25">
      <c r="R1140" s="7"/>
    </row>
    <row r="1141" spans="18:18" x14ac:dyDescent="0.25">
      <c r="R1141" s="7"/>
    </row>
    <row r="1142" spans="18:18" x14ac:dyDescent="0.25">
      <c r="R1142" s="7"/>
    </row>
    <row r="1143" spans="18:18" x14ac:dyDescent="0.25">
      <c r="R1143" s="7"/>
    </row>
    <row r="1144" spans="18:18" x14ac:dyDescent="0.25">
      <c r="R1144" s="7"/>
    </row>
    <row r="1145" spans="18:18" x14ac:dyDescent="0.25">
      <c r="R1145" s="7"/>
    </row>
    <row r="1146" spans="18:18" x14ac:dyDescent="0.25">
      <c r="R1146" s="7"/>
    </row>
    <row r="1147" spans="18:18" x14ac:dyDescent="0.25">
      <c r="R1147" s="7"/>
    </row>
    <row r="1148" spans="18:18" x14ac:dyDescent="0.25">
      <c r="R1148" s="7"/>
    </row>
  </sheetData>
  <sortState xmlns:xlrd2="http://schemas.microsoft.com/office/spreadsheetml/2017/richdata2" ref="P28:R57">
    <sortCondition ref="Q27"/>
    <sortCondition ref="R27"/>
  </sortState>
  <conditionalFormatting sqref="A1:L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>
                  <from>
                    <xdr:col>13</xdr:col>
                    <xdr:colOff>323850</xdr:colOff>
                    <xdr:row>22</xdr:row>
                    <xdr:rowOff>66675</xdr:rowOff>
                  </from>
                  <to>
                    <xdr:col>13</xdr:col>
                    <xdr:colOff>1628775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CC1-F413-45D8-B158-B4413AC0EFA7}">
  <sheetPr codeName="BEST_MARKETS"/>
  <dimension ref="A1:J105"/>
  <sheetViews>
    <sheetView workbookViewId="0">
      <selection activeCell="N7" sqref="N7"/>
    </sheetView>
  </sheetViews>
  <sheetFormatPr defaultRowHeight="15" x14ac:dyDescent="0.25"/>
  <cols>
    <col min="5" max="5" width="10.7109375" style="6" bestFit="1" customWidth="1"/>
    <col min="8" max="8" width="10.42578125" customWidth="1"/>
    <col min="10" max="10" width="14.42578125" customWidth="1"/>
  </cols>
  <sheetData>
    <row r="1" spans="1:10" x14ac:dyDescent="0.25">
      <c r="A1" s="1" t="s">
        <v>25</v>
      </c>
      <c r="B1" s="1" t="s">
        <v>26</v>
      </c>
      <c r="C1" s="1" t="s">
        <v>27</v>
      </c>
      <c r="D1" s="1" t="s">
        <v>28</v>
      </c>
      <c r="E1" s="8" t="s">
        <v>29</v>
      </c>
      <c r="F1" s="1" t="s">
        <v>15</v>
      </c>
      <c r="G1" s="1" t="s">
        <v>16</v>
      </c>
      <c r="H1" s="1" t="s">
        <v>30</v>
      </c>
      <c r="I1" s="1" t="s">
        <v>38</v>
      </c>
      <c r="J1" s="1" t="s">
        <v>53</v>
      </c>
    </row>
    <row r="2" spans="1:10" x14ac:dyDescent="0.25">
      <c r="A2" s="5">
        <v>0.41114583333333332</v>
      </c>
      <c r="B2" t="s">
        <v>2</v>
      </c>
      <c r="C2" t="s">
        <v>17</v>
      </c>
      <c r="D2">
        <v>6</v>
      </c>
      <c r="E2" s="6">
        <v>45261</v>
      </c>
      <c r="F2">
        <v>16.5</v>
      </c>
      <c r="G2">
        <v>18.5</v>
      </c>
      <c r="I2" t="s">
        <v>80</v>
      </c>
      <c r="J2" t="s">
        <v>79</v>
      </c>
    </row>
    <row r="3" spans="1:10" x14ac:dyDescent="0.25">
      <c r="A3" s="5">
        <v>0.41114583333333332</v>
      </c>
      <c r="B3" t="s">
        <v>2</v>
      </c>
      <c r="C3" t="s">
        <v>17</v>
      </c>
      <c r="D3">
        <v>6</v>
      </c>
      <c r="E3" s="6">
        <v>45627</v>
      </c>
      <c r="F3">
        <v>21.5</v>
      </c>
      <c r="G3">
        <v>23.5</v>
      </c>
      <c r="I3" t="s">
        <v>82</v>
      </c>
      <c r="J3" t="s">
        <v>81</v>
      </c>
    </row>
    <row r="4" spans="1:10" x14ac:dyDescent="0.25">
      <c r="A4" s="5">
        <v>0.41114583333333332</v>
      </c>
      <c r="B4" t="s">
        <v>2</v>
      </c>
      <c r="C4" t="s">
        <v>17</v>
      </c>
      <c r="D4">
        <v>6</v>
      </c>
      <c r="E4" s="6">
        <v>45992</v>
      </c>
      <c r="F4">
        <v>27.5</v>
      </c>
      <c r="G4">
        <v>29.5</v>
      </c>
      <c r="I4" t="s">
        <v>84</v>
      </c>
      <c r="J4" t="s">
        <v>83</v>
      </c>
    </row>
    <row r="5" spans="1:10" x14ac:dyDescent="0.25">
      <c r="A5" s="5">
        <v>0.41114583333333332</v>
      </c>
      <c r="B5" t="s">
        <v>2</v>
      </c>
      <c r="C5" t="s">
        <v>17</v>
      </c>
      <c r="D5">
        <v>6</v>
      </c>
      <c r="E5" s="6">
        <v>46357</v>
      </c>
      <c r="F5">
        <v>34</v>
      </c>
      <c r="G5">
        <v>36</v>
      </c>
      <c r="I5" t="s">
        <v>86</v>
      </c>
      <c r="J5" t="s">
        <v>85</v>
      </c>
    </row>
    <row r="6" spans="1:10" x14ac:dyDescent="0.25">
      <c r="A6" s="5">
        <v>0.41114583333333332</v>
      </c>
      <c r="B6" t="s">
        <v>2</v>
      </c>
      <c r="C6" t="s">
        <v>17</v>
      </c>
      <c r="D6">
        <v>6</v>
      </c>
      <c r="E6" s="6">
        <v>46722</v>
      </c>
      <c r="F6">
        <v>40.5</v>
      </c>
      <c r="G6">
        <v>43.5</v>
      </c>
      <c r="I6" t="s">
        <v>108</v>
      </c>
      <c r="J6" t="s">
        <v>107</v>
      </c>
    </row>
    <row r="7" spans="1:10" x14ac:dyDescent="0.25">
      <c r="A7" s="5">
        <v>0.41114583333333332</v>
      </c>
      <c r="B7" t="s">
        <v>2</v>
      </c>
      <c r="C7" t="s">
        <v>17</v>
      </c>
      <c r="D7">
        <v>6</v>
      </c>
      <c r="E7" s="6">
        <v>47088</v>
      </c>
      <c r="F7">
        <v>48.5</v>
      </c>
      <c r="G7">
        <v>51.5</v>
      </c>
      <c r="I7" t="s">
        <v>110</v>
      </c>
      <c r="J7" t="s">
        <v>109</v>
      </c>
    </row>
    <row r="8" spans="1:10" x14ac:dyDescent="0.25">
      <c r="A8" s="5">
        <v>0.41114583333333332</v>
      </c>
      <c r="B8" t="s">
        <v>2</v>
      </c>
      <c r="C8" t="s">
        <v>17</v>
      </c>
      <c r="D8">
        <v>6</v>
      </c>
      <c r="E8" s="6">
        <v>47453</v>
      </c>
      <c r="F8">
        <v>55.5</v>
      </c>
      <c r="G8">
        <v>59.5</v>
      </c>
      <c r="I8" t="s">
        <v>88</v>
      </c>
      <c r="J8" t="s">
        <v>87</v>
      </c>
    </row>
    <row r="9" spans="1:10" x14ac:dyDescent="0.25">
      <c r="A9" s="5">
        <v>0.41114583333333332</v>
      </c>
      <c r="B9" t="s">
        <v>2</v>
      </c>
      <c r="C9" t="s">
        <v>17</v>
      </c>
      <c r="D9">
        <v>6</v>
      </c>
      <c r="E9" s="6">
        <v>47818</v>
      </c>
      <c r="F9">
        <v>63.5</v>
      </c>
      <c r="G9">
        <v>67.5</v>
      </c>
      <c r="I9" t="s">
        <v>112</v>
      </c>
      <c r="J9" t="s">
        <v>111</v>
      </c>
    </row>
    <row r="10" spans="1:10" x14ac:dyDescent="0.25">
      <c r="A10" s="5">
        <v>0.41114583333333332</v>
      </c>
      <c r="B10" t="s">
        <v>2</v>
      </c>
      <c r="C10" t="s">
        <v>17</v>
      </c>
      <c r="D10">
        <v>6</v>
      </c>
      <c r="E10" s="6">
        <v>48183</v>
      </c>
      <c r="F10">
        <v>70</v>
      </c>
      <c r="G10">
        <v>76</v>
      </c>
      <c r="I10" t="s">
        <v>114</v>
      </c>
      <c r="J10" t="s">
        <v>113</v>
      </c>
    </row>
    <row r="11" spans="1:10" x14ac:dyDescent="0.25">
      <c r="A11" s="5">
        <v>0.70209490740740732</v>
      </c>
      <c r="B11" t="s">
        <v>6</v>
      </c>
      <c r="C11" t="s">
        <v>17</v>
      </c>
      <c r="D11">
        <v>6</v>
      </c>
      <c r="E11" s="7">
        <v>45261</v>
      </c>
      <c r="F11">
        <v>16</v>
      </c>
      <c r="G11">
        <v>18</v>
      </c>
      <c r="I11" t="s">
        <v>115</v>
      </c>
      <c r="J11" t="s">
        <v>116</v>
      </c>
    </row>
    <row r="12" spans="1:10" x14ac:dyDescent="0.25">
      <c r="A12" s="5">
        <v>0.70209490740740732</v>
      </c>
      <c r="B12" t="s">
        <v>6</v>
      </c>
      <c r="C12" t="s">
        <v>17</v>
      </c>
      <c r="D12">
        <v>6</v>
      </c>
      <c r="E12" s="7">
        <v>45627</v>
      </c>
      <c r="F12">
        <v>21</v>
      </c>
      <c r="G12">
        <v>23</v>
      </c>
      <c r="I12" t="s">
        <v>118</v>
      </c>
      <c r="J12" t="s">
        <v>117</v>
      </c>
    </row>
    <row r="13" spans="1:10" x14ac:dyDescent="0.25">
      <c r="A13" s="5">
        <v>0.70209490740740732</v>
      </c>
      <c r="B13" t="s">
        <v>6</v>
      </c>
      <c r="C13" t="s">
        <v>17</v>
      </c>
      <c r="D13">
        <v>6</v>
      </c>
      <c r="E13" s="7">
        <v>45992</v>
      </c>
      <c r="F13">
        <v>26.5</v>
      </c>
      <c r="G13">
        <v>28.5</v>
      </c>
      <c r="I13" t="s">
        <v>119</v>
      </c>
      <c r="J13" t="s">
        <v>120</v>
      </c>
    </row>
    <row r="14" spans="1:10" x14ac:dyDescent="0.25">
      <c r="A14" s="5">
        <v>0.70209490740740732</v>
      </c>
      <c r="B14" t="s">
        <v>6</v>
      </c>
      <c r="C14" t="s">
        <v>17</v>
      </c>
      <c r="D14">
        <v>6</v>
      </c>
      <c r="E14" s="7">
        <v>46357</v>
      </c>
      <c r="F14">
        <v>33</v>
      </c>
      <c r="G14">
        <v>35</v>
      </c>
      <c r="I14" t="s">
        <v>94</v>
      </c>
      <c r="J14" t="s">
        <v>95</v>
      </c>
    </row>
    <row r="15" spans="1:10" x14ac:dyDescent="0.25">
      <c r="A15" s="5">
        <v>0.70209490740740732</v>
      </c>
      <c r="B15" t="s">
        <v>6</v>
      </c>
      <c r="C15" t="s">
        <v>17</v>
      </c>
      <c r="D15">
        <v>6</v>
      </c>
      <c r="E15" s="7">
        <v>46722</v>
      </c>
      <c r="F15">
        <v>39.5</v>
      </c>
      <c r="G15">
        <v>41.5</v>
      </c>
      <c r="I15" t="s">
        <v>121</v>
      </c>
      <c r="J15" t="s">
        <v>122</v>
      </c>
    </row>
    <row r="16" spans="1:10" x14ac:dyDescent="0.25">
      <c r="A16" s="5">
        <v>0.70209490740740732</v>
      </c>
      <c r="B16" t="s">
        <v>6</v>
      </c>
      <c r="C16" t="s">
        <v>17</v>
      </c>
      <c r="D16">
        <v>6</v>
      </c>
      <c r="E16" s="7">
        <v>47088</v>
      </c>
      <c r="F16">
        <v>46.5</v>
      </c>
      <c r="G16">
        <v>48.5</v>
      </c>
      <c r="I16" t="s">
        <v>49</v>
      </c>
      <c r="J16" t="s">
        <v>123</v>
      </c>
    </row>
    <row r="17" spans="1:10" x14ac:dyDescent="0.25">
      <c r="A17" s="5">
        <v>0.70209490740740732</v>
      </c>
      <c r="B17" t="s">
        <v>6</v>
      </c>
      <c r="C17" t="s">
        <v>17</v>
      </c>
      <c r="D17">
        <v>6</v>
      </c>
      <c r="E17" s="7">
        <v>47453</v>
      </c>
      <c r="F17">
        <v>53.5</v>
      </c>
      <c r="G17">
        <v>56.5</v>
      </c>
      <c r="I17" t="s">
        <v>50</v>
      </c>
      <c r="J17" t="s">
        <v>96</v>
      </c>
    </row>
    <row r="18" spans="1:10" x14ac:dyDescent="0.25">
      <c r="A18" s="5">
        <v>0.70209490740740732</v>
      </c>
      <c r="B18" t="s">
        <v>6</v>
      </c>
      <c r="C18" t="s">
        <v>17</v>
      </c>
      <c r="D18">
        <v>6</v>
      </c>
      <c r="E18" s="7">
        <v>47818</v>
      </c>
      <c r="F18">
        <v>60</v>
      </c>
      <c r="G18">
        <v>64</v>
      </c>
      <c r="I18" t="s">
        <v>51</v>
      </c>
      <c r="J18" t="s">
        <v>124</v>
      </c>
    </row>
    <row r="19" spans="1:10" x14ac:dyDescent="0.25">
      <c r="A19" s="5">
        <v>0.70209490740740732</v>
      </c>
      <c r="B19" t="s">
        <v>6</v>
      </c>
      <c r="C19" t="s">
        <v>17</v>
      </c>
      <c r="D19">
        <v>6</v>
      </c>
      <c r="E19" s="7">
        <v>48183</v>
      </c>
      <c r="F19">
        <v>66.5</v>
      </c>
      <c r="G19">
        <v>72.5</v>
      </c>
      <c r="I19" t="s">
        <v>52</v>
      </c>
      <c r="J19" t="s">
        <v>125</v>
      </c>
    </row>
    <row r="20" spans="1:10" x14ac:dyDescent="0.25">
      <c r="A20" s="5">
        <v>0.66886574074074068</v>
      </c>
      <c r="B20" t="s">
        <v>5</v>
      </c>
      <c r="C20" t="s">
        <v>17</v>
      </c>
      <c r="D20">
        <v>6</v>
      </c>
      <c r="E20" s="7">
        <v>44986</v>
      </c>
      <c r="F20">
        <v>-10</v>
      </c>
      <c r="G20">
        <v>-5</v>
      </c>
      <c r="J20" t="s">
        <v>89</v>
      </c>
    </row>
    <row r="21" spans="1:10" x14ac:dyDescent="0.25">
      <c r="A21" s="5">
        <v>0.66886574074074068</v>
      </c>
      <c r="B21" t="s">
        <v>5</v>
      </c>
      <c r="C21" t="s">
        <v>17</v>
      </c>
      <c r="D21">
        <v>6</v>
      </c>
      <c r="E21" s="7">
        <v>45078</v>
      </c>
      <c r="F21">
        <v>40</v>
      </c>
      <c r="G21">
        <v>45</v>
      </c>
      <c r="J21" t="s">
        <v>90</v>
      </c>
    </row>
    <row r="22" spans="1:10" x14ac:dyDescent="0.25">
      <c r="A22" s="5">
        <v>0.66886574074074068</v>
      </c>
      <c r="B22" t="s">
        <v>5</v>
      </c>
      <c r="C22" t="s">
        <v>17</v>
      </c>
      <c r="D22">
        <v>6</v>
      </c>
      <c r="E22" s="7">
        <v>45261</v>
      </c>
      <c r="F22">
        <v>16.5</v>
      </c>
      <c r="G22">
        <v>18</v>
      </c>
      <c r="J22" t="s">
        <v>91</v>
      </c>
    </row>
    <row r="23" spans="1:10" x14ac:dyDescent="0.25">
      <c r="A23" s="5">
        <v>0.66886574074074068</v>
      </c>
      <c r="B23" t="s">
        <v>5</v>
      </c>
      <c r="C23" t="s">
        <v>17</v>
      </c>
      <c r="D23">
        <v>6</v>
      </c>
      <c r="E23" s="7">
        <v>45627</v>
      </c>
      <c r="F23">
        <v>21.5</v>
      </c>
      <c r="G23">
        <v>22.5</v>
      </c>
      <c r="J23" t="s">
        <v>92</v>
      </c>
    </row>
    <row r="24" spans="1:10" x14ac:dyDescent="0.25">
      <c r="A24" s="5">
        <v>0.66886574074074068</v>
      </c>
      <c r="B24" t="s">
        <v>5</v>
      </c>
      <c r="C24" t="s">
        <v>17</v>
      </c>
      <c r="D24">
        <v>6</v>
      </c>
      <c r="E24" s="7">
        <v>45992</v>
      </c>
      <c r="F24">
        <v>27.5</v>
      </c>
      <c r="G24">
        <v>28.5</v>
      </c>
      <c r="J24" t="s">
        <v>93</v>
      </c>
    </row>
    <row r="25" spans="1:10" x14ac:dyDescent="0.25">
      <c r="A25" s="5">
        <v>0.66886574074074068</v>
      </c>
      <c r="B25" t="s">
        <v>5</v>
      </c>
      <c r="C25" t="s">
        <v>17</v>
      </c>
      <c r="D25">
        <v>6</v>
      </c>
      <c r="E25" s="7">
        <v>46357</v>
      </c>
      <c r="F25">
        <v>33.5</v>
      </c>
      <c r="G25">
        <v>35</v>
      </c>
      <c r="I25" t="s">
        <v>94</v>
      </c>
      <c r="J25" t="s">
        <v>95</v>
      </c>
    </row>
    <row r="26" spans="1:10" x14ac:dyDescent="0.25">
      <c r="A26" s="5">
        <v>0.66886574074074068</v>
      </c>
      <c r="B26" t="s">
        <v>5</v>
      </c>
      <c r="C26" t="s">
        <v>17</v>
      </c>
      <c r="D26">
        <v>6</v>
      </c>
      <c r="E26" s="7">
        <v>46722</v>
      </c>
      <c r="F26">
        <v>40.5</v>
      </c>
      <c r="G26">
        <v>42</v>
      </c>
      <c r="I26" t="s">
        <v>108</v>
      </c>
      <c r="J26" t="s">
        <v>107</v>
      </c>
    </row>
    <row r="27" spans="1:10" x14ac:dyDescent="0.25">
      <c r="A27" s="5">
        <v>0.66886574074074068</v>
      </c>
      <c r="B27" t="s">
        <v>5</v>
      </c>
      <c r="C27" t="s">
        <v>17</v>
      </c>
      <c r="D27">
        <v>6</v>
      </c>
      <c r="E27" s="7">
        <v>47088</v>
      </c>
      <c r="F27">
        <v>47.5</v>
      </c>
      <c r="G27">
        <v>49</v>
      </c>
      <c r="I27" t="s">
        <v>127</v>
      </c>
      <c r="J27" t="s">
        <v>126</v>
      </c>
    </row>
    <row r="28" spans="1:10" x14ac:dyDescent="0.25">
      <c r="A28" s="5">
        <v>0.66886574074074068</v>
      </c>
      <c r="B28" t="s">
        <v>5</v>
      </c>
      <c r="C28" t="s">
        <v>17</v>
      </c>
      <c r="D28">
        <v>6</v>
      </c>
      <c r="E28" s="7">
        <v>47453</v>
      </c>
      <c r="F28">
        <v>54.5</v>
      </c>
      <c r="G28">
        <v>56.5</v>
      </c>
      <c r="I28" t="s">
        <v>50</v>
      </c>
      <c r="J28" t="s">
        <v>96</v>
      </c>
    </row>
    <row r="29" spans="1:10" x14ac:dyDescent="0.25">
      <c r="A29" s="5">
        <v>0.66886574074074068</v>
      </c>
      <c r="B29" t="s">
        <v>5</v>
      </c>
      <c r="C29" t="s">
        <v>17</v>
      </c>
      <c r="D29">
        <v>6</v>
      </c>
      <c r="E29" s="7">
        <v>47818</v>
      </c>
      <c r="F29">
        <v>61</v>
      </c>
      <c r="G29">
        <v>65</v>
      </c>
      <c r="I29" t="s">
        <v>129</v>
      </c>
      <c r="J29" t="s">
        <v>128</v>
      </c>
    </row>
    <row r="30" spans="1:10" x14ac:dyDescent="0.25">
      <c r="A30" s="5">
        <v>0.66886574074074068</v>
      </c>
      <c r="B30" t="s">
        <v>5</v>
      </c>
      <c r="C30" t="s">
        <v>17</v>
      </c>
      <c r="D30">
        <v>6</v>
      </c>
      <c r="E30" s="7">
        <v>48183</v>
      </c>
      <c r="F30">
        <v>69</v>
      </c>
      <c r="G30">
        <v>75</v>
      </c>
      <c r="I30" t="s">
        <v>131</v>
      </c>
      <c r="J30" t="s">
        <v>130</v>
      </c>
    </row>
    <row r="31" spans="1:10" x14ac:dyDescent="0.25">
      <c r="A31" s="5">
        <v>0.66886574074074068</v>
      </c>
      <c r="B31" t="s">
        <v>5</v>
      </c>
      <c r="C31" t="s">
        <v>17</v>
      </c>
      <c r="D31">
        <v>6</v>
      </c>
      <c r="E31" s="7">
        <v>48549</v>
      </c>
      <c r="F31">
        <v>74</v>
      </c>
      <c r="G31">
        <v>81</v>
      </c>
      <c r="J31" t="s">
        <v>97</v>
      </c>
    </row>
    <row r="32" spans="1:10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E45F2-7B3D-458F-8580-BFBEC22B2C02}">
  <sheetPr codeName="CLIENTS"/>
  <dimension ref="A1:D7"/>
  <sheetViews>
    <sheetView workbookViewId="0">
      <selection activeCell="D4" sqref="D4"/>
    </sheetView>
  </sheetViews>
  <sheetFormatPr defaultRowHeight="15" x14ac:dyDescent="0.25"/>
  <cols>
    <col min="1" max="1" width="16.5703125" bestFit="1" customWidth="1"/>
  </cols>
  <sheetData>
    <row r="1" spans="1:4" x14ac:dyDescent="0.25">
      <c r="A1" s="1" t="s">
        <v>1</v>
      </c>
      <c r="B1" s="1" t="s">
        <v>3</v>
      </c>
      <c r="C1" s="1" t="s">
        <v>40</v>
      </c>
      <c r="D1" s="1" t="s">
        <v>20</v>
      </c>
    </row>
    <row r="2" spans="1:4" x14ac:dyDescent="0.25">
      <c r="A2" t="s">
        <v>0</v>
      </c>
      <c r="B2" t="s">
        <v>2</v>
      </c>
      <c r="C2" t="s">
        <v>41</v>
      </c>
      <c r="D2" t="s">
        <v>38</v>
      </c>
    </row>
    <row r="3" spans="1:4" x14ac:dyDescent="0.25">
      <c r="A3" t="s">
        <v>4</v>
      </c>
      <c r="B3" t="s">
        <v>5</v>
      </c>
      <c r="C3" t="s">
        <v>46</v>
      </c>
      <c r="D3" t="s">
        <v>38</v>
      </c>
    </row>
    <row r="4" spans="1:4" x14ac:dyDescent="0.25">
      <c r="A4" t="s">
        <v>11</v>
      </c>
      <c r="B4" t="s">
        <v>5</v>
      </c>
      <c r="C4" t="s">
        <v>42</v>
      </c>
      <c r="D4" t="s">
        <v>38</v>
      </c>
    </row>
    <row r="5" spans="1:4" x14ac:dyDescent="0.25">
      <c r="A5" t="s">
        <v>10</v>
      </c>
      <c r="B5" t="s">
        <v>6</v>
      </c>
      <c r="C5" t="s">
        <v>43</v>
      </c>
      <c r="D5" t="s">
        <v>38</v>
      </c>
    </row>
    <row r="6" spans="1:4" x14ac:dyDescent="0.25">
      <c r="A6" t="s">
        <v>19</v>
      </c>
      <c r="B6" t="s">
        <v>7</v>
      </c>
      <c r="C6" t="s">
        <v>44</v>
      </c>
      <c r="D6" t="s">
        <v>38</v>
      </c>
    </row>
    <row r="7" spans="1:4" x14ac:dyDescent="0.25">
      <c r="A7" t="s">
        <v>18</v>
      </c>
      <c r="B7" t="s">
        <v>7</v>
      </c>
      <c r="C7" t="s">
        <v>45</v>
      </c>
      <c r="D7" t="s">
        <v>38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5D29F-54B7-4F87-930A-1F9CAF4FAE8D}">
  <sheetPr codeName="Sheet1"/>
  <dimension ref="A1:I1"/>
  <sheetViews>
    <sheetView workbookViewId="0">
      <selection activeCell="F10" sqref="F10"/>
    </sheetView>
  </sheetViews>
  <sheetFormatPr defaultRowHeight="15" x14ac:dyDescent="0.25"/>
  <sheetData>
    <row r="1" spans="1:9" x14ac:dyDescent="0.25">
      <c r="A1" s="1" t="s">
        <v>25</v>
      </c>
      <c r="B1" s="1" t="s">
        <v>26</v>
      </c>
      <c r="C1" s="1" t="s">
        <v>27</v>
      </c>
      <c r="D1" s="1" t="s">
        <v>28</v>
      </c>
      <c r="E1" s="8" t="s">
        <v>29</v>
      </c>
      <c r="F1" s="1" t="s">
        <v>15</v>
      </c>
      <c r="G1" s="1" t="s">
        <v>16</v>
      </c>
      <c r="H1" s="1" t="s">
        <v>30</v>
      </c>
      <c r="I1" s="1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BB00DBF707954597D0907990CE2EFF" ma:contentTypeVersion="13" ma:contentTypeDescription="Create a new document." ma:contentTypeScope="" ma:versionID="95a5756b668a6a4c07a4cf5ddaba800b">
  <xsd:schema xmlns:xsd="http://www.w3.org/2001/XMLSchema" xmlns:xs="http://www.w3.org/2001/XMLSchema" xmlns:p="http://schemas.microsoft.com/office/2006/metadata/properties" xmlns:ns2="6897d00f-510c-406e-8d91-d4933582bd76" xmlns:ns3="6ecde16d-53b9-49a0-94e3-f4ed61f53efa" targetNamespace="http://schemas.microsoft.com/office/2006/metadata/properties" ma:root="true" ma:fieldsID="ddeacbc6a614e7b8d0fb866ea2d906be" ns2:_="" ns3:_="">
    <xsd:import namespace="6897d00f-510c-406e-8d91-d4933582bd76"/>
    <xsd:import namespace="6ecde16d-53b9-49a0-94e3-f4ed61f53e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97d00f-510c-406e-8d91-d4933582bd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2099c0b8-4fd8-4ab9-8483-70172a4b60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cde16d-53b9-49a0-94e3-f4ed61f53ef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b1f1870a-62ae-4f3c-99b6-3a37ecd7fc8d}" ma:internalName="TaxCatchAll" ma:showField="CatchAllData" ma:web="6ecde16d-53b9-49a0-94e3-f4ed61f53e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897d00f-510c-406e-8d91-d4933582bd76">
      <Terms xmlns="http://schemas.microsoft.com/office/infopath/2007/PartnerControls"/>
    </lcf76f155ced4ddcb4097134ff3c332f>
    <TaxCatchAll xmlns="6ecde16d-53b9-49a0-94e3-f4ed61f53efa" xsi:nil="true"/>
  </documentManagement>
</p:properties>
</file>

<file path=customXml/itemProps1.xml><?xml version="1.0" encoding="utf-8"?>
<ds:datastoreItem xmlns:ds="http://schemas.openxmlformats.org/officeDocument/2006/customXml" ds:itemID="{A02A2785-6A71-4ABB-835F-16035562624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9969A9-08FB-48FD-8A6E-47FCDE962C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97d00f-510c-406e-8d91-d4933582bd76"/>
    <ds:schemaRef ds:uri="6ecde16d-53b9-49a0-94e3-f4ed61f53e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7893713-CD3C-4C68-A643-136B3FD5B32F}">
  <ds:schemaRefs>
    <ds:schemaRef ds:uri="http://schemas.microsoft.com/office/2006/metadata/properties"/>
    <ds:schemaRef ds:uri="http://schemas.microsoft.com/office/infopath/2007/PartnerControls"/>
    <ds:schemaRef ds:uri="6897d00f-510c-406e-8d91-d4933582bd76"/>
    <ds:schemaRef ds:uri="6ecde16d-53b9-49a0-94e3-f4ed61f53ef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SX5E</vt:lpstr>
      <vt:lpstr>BEST</vt:lpstr>
      <vt:lpstr>CLIENTS</vt:lpstr>
      <vt:lpstr>BEST_HISTORY</vt:lpstr>
      <vt:lpstr>BEST_TAB</vt:lpstr>
      <vt:lpstr>CLIENTS_DATA_BANK</vt:lpstr>
      <vt:lpstr>CLIENTS_DATA_FIRST_NAME</vt:lpstr>
      <vt:lpstr>CLIENTS_DATA_NAME</vt:lpstr>
      <vt:lpstr>CLIENTS_DATA_TYPE_FB</vt:lpstr>
      <vt:lpstr>CLIENTS_DATANAME</vt:lpstr>
      <vt:lpstr>prem_cell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Terao</dc:creator>
  <cp:lastModifiedBy>Maniteja Shivanadula</cp:lastModifiedBy>
  <dcterms:created xsi:type="dcterms:W3CDTF">2023-01-04T11:59:45Z</dcterms:created>
  <dcterms:modified xsi:type="dcterms:W3CDTF">2023-01-06T17:08:46Z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893f075-f8fe-4792-807f-b96a4de7201c_Enabled">
    <vt:lpwstr>True</vt:lpwstr>
  </property>
  <property fmtid="{D5CDD505-2E9C-101B-9397-08002B2CF9AE}" pid="3" name="MSIP_Label_0893f075-f8fe-4792-807f-b96a4de7201c_SiteId">
    <vt:lpwstr>96e17d10-a58f-4efc-acef-be3521190113</vt:lpwstr>
  </property>
  <property fmtid="{D5CDD505-2E9C-101B-9397-08002B2CF9AE}" pid="4" name="MSIP_Label_0893f075-f8fe-4792-807f-b96a4de7201c_Owner">
    <vt:lpwstr>CTerao@rjobrien.com</vt:lpwstr>
  </property>
  <property fmtid="{D5CDD505-2E9C-101B-9397-08002B2CF9AE}" pid="5" name="MSIP_Label_0893f075-f8fe-4792-807f-b96a4de7201c_SetDate">
    <vt:lpwstr>2023-01-04T15:39:46.6526271Z</vt:lpwstr>
  </property>
  <property fmtid="{D5CDD505-2E9C-101B-9397-08002B2CF9AE}" pid="6" name="MSIP_Label_0893f075-f8fe-4792-807f-b96a4de7201c_Name">
    <vt:lpwstr>General</vt:lpwstr>
  </property>
  <property fmtid="{D5CDD505-2E9C-101B-9397-08002B2CF9AE}" pid="7" name="MSIP_Label_0893f075-f8fe-4792-807f-b96a4de7201c_Application">
    <vt:lpwstr>Microsoft Azure Information Protection</vt:lpwstr>
  </property>
  <property fmtid="{D5CDD505-2E9C-101B-9397-08002B2CF9AE}" pid="8" name="MSIP_Label_0893f075-f8fe-4792-807f-b96a4de7201c_ActionId">
    <vt:lpwstr>8e9ef12d-ee10-4522-b513-628297d563f1</vt:lpwstr>
  </property>
  <property fmtid="{D5CDD505-2E9C-101B-9397-08002B2CF9AE}" pid="9" name="MSIP_Label_0893f075-f8fe-4792-807f-b96a4de7201c_Extended_MSFT_Method">
    <vt:lpwstr>Automatic</vt:lpwstr>
  </property>
  <property fmtid="{D5CDD505-2E9C-101B-9397-08002B2CF9AE}" pid="10" name="Sensitivity">
    <vt:lpwstr>General</vt:lpwstr>
  </property>
  <property fmtid="{D5CDD505-2E9C-101B-9397-08002B2CF9AE}" pid="11" name="ContentTypeId">
    <vt:lpwstr>0x01010062BB00DBF707954597D0907990CE2EFF</vt:lpwstr>
  </property>
  <property fmtid="{D5CDD505-2E9C-101B-9397-08002B2CF9AE}" pid="12" name="MediaServiceImageTags">
    <vt:lpwstr/>
  </property>
</Properties>
</file>